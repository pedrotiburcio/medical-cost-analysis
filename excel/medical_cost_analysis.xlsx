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9CE9\EXCELCNV\610aee56-64ec-4bb2-9c88-20342bd25762\"/>
    </mc:Choice>
  </mc:AlternateContent>
  <xr:revisionPtr revIDLastSave="0" documentId="8_{E5724606-58C0-4C18-BEF6-44DEB08CE83A}" xr6:coauthVersionLast="47" xr6:coauthVersionMax="47" xr10:uidLastSave="{00000000-0000-0000-0000-000000000000}"/>
  <bookViews>
    <workbookView xWindow="-60" yWindow="-60" windowWidth="15480" windowHeight="11640" firstSheet="1" activeTab="1" xr2:uid="{32CCC4CD-D960-4F40-9D61-F93E713A369F}"/>
  </bookViews>
  <sheets>
    <sheet name="in" sheetId="1" r:id="rId1"/>
    <sheet name="exploracao_dataset" sheetId="2" r:id="rId2"/>
  </sheets>
  <calcPr calcId="191028"/>
  <pivotCaches>
    <pivotCache cacheId="5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<sst xmlns="http://schemas.openxmlformats.org/spreadsheetml/2006/main" count="4042" uniqueCount="30">
  <si>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</si>
  <si>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</si>
  <si>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</si>
  <si>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</si>
  <si>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</si>
  <si>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</si>
  <si>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</si>
  <si>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</si>
  <si>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</si>
  <si>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</si>
  <si>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</si>
  <si>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</si>
  <si>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</si>
  <si>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</si>
  <si>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</si>
  <si>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MEDICAL COST ANALYSIS - EXCEL EXPLORATION</t>
  </si>
  <si>
    <t>Average Medical Costs: Smokers vs Non-Smokers</t>
  </si>
  <si>
    <t>Average Medical Costs by Sex</t>
  </si>
  <si>
    <t>Average BMI: Smokers vs Non-Smokers</t>
  </si>
  <si>
    <t>INITIAL INSIGHTS</t>
  </si>
  <si>
    <t>Smoker</t>
  </si>
  <si>
    <t>Average Medical Costs</t>
  </si>
  <si>
    <t>Sex</t>
  </si>
  <si>
    <t>Average BMI</t>
  </si>
  <si>
    <t>• Smokers have approximately 4x higher medical costs, indicating a strong impact of smoking on healthcare expenses.
• Sex has little influence on costs, with only a small difference between groups.
• Medical costs tend to increase with age, although with variability suggesting the influence of other factors.
• There is no significant difference in BMI between smokers and non-smokers.</t>
  </si>
  <si>
    <t>Yes</t>
  </si>
  <si>
    <t>Male</t>
  </si>
  <si>
    <t>No</t>
  </si>
  <si>
    <t>Female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</si>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</sst>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_([$$-409]* #,##0.00_);_([$$-409]* \(#,##0.00\);_([$$-409]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6" fillId="0" borderId="0" xfId="0" applyFont="1"/>
    <xf numFmtId="0" fontId="0" fillId="35" borderId="0" xfId="0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2" fillId="3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35" borderId="0" xfId="0" applyFont="1" applyFill="1" applyAlignment="1">
      <alignment horizontal="center" vertical="center" wrapText="1"/>
    </xf>
    <xf numFmtId="0" fontId="22" fillId="33" borderId="0" xfId="0" applyFont="1" applyFill="1" applyAlignment="1">
      <alignment horizontal="center" vertical="center" wrapText="1"/>
    </xf>
    <xf numFmtId="0" fontId="20" fillId="35" borderId="0" xfId="0" applyFont="1" applyFill="1" applyAlignment="1">
      <alignment horizontal="center" wrapText="1"/>
    </xf>
    <xf numFmtId="0" fontId="20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left" wrapText="1"/>
    </xf>
    <xf numFmtId="0" fontId="19" fillId="36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2">
    <dxf>
      <numFmt numFmtId="165" formatCode="_([$$-409]* #,##0.00_);_([$$-409]* \(#,##0.00\);_([$$-409]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R$-416]\ * #,##0.00_-;\-[$R$-416]\ * #,##0.00_-;_-[$R$-416]\ * &quot;-&quot;??_-;_-@_-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Medical Costs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7"/>
              <c:pt idx="0">
                <c:v>18</c:v>
              </c:pt>
              <c:pt idx="1">
                <c:v>19</c:v>
              </c:pt>
              <c:pt idx="2">
                <c:v>20</c:v>
              </c:pt>
              <c:pt idx="3">
                <c:v>21</c:v>
              </c:pt>
              <c:pt idx="4">
                <c:v>22</c:v>
              </c:pt>
              <c:pt idx="5">
                <c:v>23</c:v>
              </c:pt>
              <c:pt idx="6">
                <c:v>24</c:v>
              </c:pt>
              <c:pt idx="7">
                <c:v>25</c:v>
              </c:pt>
              <c:pt idx="8">
                <c:v>26</c:v>
              </c:pt>
              <c:pt idx="9">
                <c:v>27</c:v>
              </c:pt>
              <c:pt idx="10">
                <c:v>28</c:v>
              </c:pt>
              <c:pt idx="11">
                <c:v>29</c:v>
              </c:pt>
              <c:pt idx="12">
                <c:v>30</c:v>
              </c:pt>
              <c:pt idx="13">
                <c:v>31</c:v>
              </c:pt>
              <c:pt idx="14">
                <c:v>32</c:v>
              </c:pt>
              <c:pt idx="15">
                <c:v>33</c:v>
              </c:pt>
              <c:pt idx="16">
                <c:v>34</c:v>
              </c:pt>
              <c:pt idx="17">
                <c:v>35</c:v>
              </c:pt>
              <c:pt idx="18">
                <c:v>36</c:v>
              </c:pt>
              <c:pt idx="19">
                <c:v>37</c:v>
              </c:pt>
              <c:pt idx="20">
                <c:v>38</c:v>
              </c:pt>
              <c:pt idx="21">
                <c:v>39</c:v>
              </c:pt>
              <c:pt idx="22">
                <c:v>40</c:v>
              </c:pt>
              <c:pt idx="23">
                <c:v>41</c:v>
              </c:pt>
              <c:pt idx="24">
                <c:v>42</c:v>
              </c:pt>
              <c:pt idx="25">
                <c:v>43</c:v>
              </c:pt>
              <c:pt idx="26">
                <c:v>44</c:v>
              </c:pt>
              <c:pt idx="27">
                <c:v>45</c:v>
              </c:pt>
              <c:pt idx="28">
                <c:v>46</c:v>
              </c:pt>
              <c:pt idx="29">
                <c:v>47</c:v>
              </c:pt>
              <c:pt idx="30">
                <c:v>48</c:v>
              </c:pt>
              <c:pt idx="31">
                <c:v>49</c:v>
              </c:pt>
              <c:pt idx="32">
                <c:v>50</c:v>
              </c:pt>
              <c:pt idx="33">
                <c:v>51</c:v>
              </c:pt>
              <c:pt idx="34">
                <c:v>52</c:v>
              </c:pt>
              <c:pt idx="35">
                <c:v>53</c:v>
              </c:pt>
              <c:pt idx="36">
                <c:v>54</c:v>
              </c:pt>
              <c:pt idx="37">
                <c:v>55</c:v>
              </c:pt>
              <c:pt idx="38">
                <c:v>56</c:v>
              </c:pt>
              <c:pt idx="39">
                <c:v>57</c:v>
              </c:pt>
              <c:pt idx="40">
                <c:v>58</c:v>
              </c:pt>
              <c:pt idx="41">
                <c:v>59</c:v>
              </c:pt>
              <c:pt idx="42">
                <c:v>60</c:v>
              </c:pt>
              <c:pt idx="43">
                <c:v>61</c:v>
              </c:pt>
              <c:pt idx="44">
                <c:v>62</c:v>
              </c:pt>
              <c:pt idx="45">
                <c:v>63</c:v>
              </c:pt>
              <c:pt idx="46">
                <c:v>64</c:v>
              </c:pt>
            </c:strLit>
          </c:cat>
          <c:val>
            <c:numLit>
              <c:formatCode>General</c:formatCode>
              <c:ptCount val="47"/>
              <c:pt idx="0">
                <c:v>7086.2175563623205</c:v>
              </c:pt>
              <c:pt idx="1">
                <c:v>9747.9093345588226</c:v>
              </c:pt>
              <c:pt idx="2">
                <c:v>10159.697736206897</c:v>
              </c:pt>
              <c:pt idx="3">
                <c:v>4730.4643296428567</c:v>
              </c:pt>
              <c:pt idx="4">
                <c:v>10012.932801785715</c:v>
              </c:pt>
              <c:pt idx="5">
                <c:v>12419.820039642855</c:v>
              </c:pt>
              <c:pt idx="6">
                <c:v>10648.015962142857</c:v>
              </c:pt>
              <c:pt idx="7">
                <c:v>9838.3653107142854</c:v>
              </c:pt>
              <c:pt idx="8">
                <c:v>6133.8253085714286</c:v>
              </c:pt>
              <c:pt idx="9">
                <c:v>12184.701721428573</c:v>
              </c:pt>
              <c:pt idx="10">
                <c:v>9069.1875642857121</c:v>
              </c:pt>
              <c:pt idx="11">
                <c:v>10430.158727037038</c:v>
              </c:pt>
              <c:pt idx="12">
                <c:v>12719.110358148146</c:v>
              </c:pt>
              <c:pt idx="13">
                <c:v>10196.980573333332</c:v>
              </c:pt>
              <c:pt idx="14">
                <c:v>9220.3002907692317</c:v>
              </c:pt>
              <c:pt idx="15">
                <c:v>12351.53298730769</c:v>
              </c:pt>
              <c:pt idx="16">
                <c:v>11613.52812076923</c:v>
              </c:pt>
              <c:pt idx="17">
                <c:v>11307.182031200002</c:v>
              </c:pt>
              <c:pt idx="18">
                <c:v>12204.476138</c:v>
              </c:pt>
              <c:pt idx="19">
                <c:v>18019.9118772</c:v>
              </c:pt>
              <c:pt idx="20">
                <c:v>8102.7336740000001</c:v>
              </c:pt>
              <c:pt idx="21">
                <c:v>11778.2429452</c:v>
              </c:pt>
              <c:pt idx="22">
                <c:v>11772.25131</c:v>
              </c:pt>
              <c:pt idx="23">
                <c:v>9653.745649629629</c:v>
              </c:pt>
              <c:pt idx="24">
                <c:v>13061.038668888888</c:v>
              </c:pt>
              <c:pt idx="25">
                <c:v>19267.278653333331</c:v>
              </c:pt>
              <c:pt idx="26">
                <c:v>15859.396587037038</c:v>
              </c:pt>
              <c:pt idx="27">
                <c:v>14830.199856206897</c:v>
              </c:pt>
              <c:pt idx="28">
                <c:v>14342.590638620688</c:v>
              </c:pt>
              <c:pt idx="29">
                <c:v>17653.99959310345</c:v>
              </c:pt>
              <c:pt idx="30">
                <c:v>14632.500445172411</c:v>
              </c:pt>
              <c:pt idx="31">
                <c:v>12696.006264285714</c:v>
              </c:pt>
              <c:pt idx="32">
                <c:v>15663.003300689661</c:v>
              </c:pt>
              <c:pt idx="33">
                <c:v>15682.255867241382</c:v>
              </c:pt>
              <c:pt idx="34">
                <c:v>18256.269719310341</c:v>
              </c:pt>
              <c:pt idx="35">
                <c:v>16020.930755000003</c:v>
              </c:pt>
              <c:pt idx="36">
                <c:v>18758.546475357143</c:v>
              </c:pt>
              <c:pt idx="37">
                <c:v>16164.545488461539</c:v>
              </c:pt>
              <c:pt idx="38">
                <c:v>15025.515836538463</c:v>
              </c:pt>
              <c:pt idx="39">
                <c:v>16447.185250000002</c:v>
              </c:pt>
              <c:pt idx="40">
                <c:v>13878.9281116</c:v>
              </c:pt>
              <c:pt idx="41">
                <c:v>18895.869531599998</c:v>
              </c:pt>
              <c:pt idx="42">
                <c:v>21979.418507391303</c:v>
              </c:pt>
              <c:pt idx="43">
                <c:v>22024.457608695651</c:v>
              </c:pt>
              <c:pt idx="44">
                <c:v>19163.856573478261</c:v>
              </c:pt>
              <c:pt idx="45">
                <c:v>19884.998460869567</c:v>
              </c:pt>
              <c:pt idx="46">
                <c:v>23275.530837272723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18A-4416-B74D-6E815D697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518216"/>
        <c:axId val="1367520264"/>
      </c:lineChart>
      <c:catAx>
        <c:axId val="1367518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20264"/>
        <c:crosses val="autoZero"/>
        <c:auto val="1"/>
        <c:lblAlgn val="ctr"/>
        <c:lblOffset val="100"/>
        <c:noMultiLvlLbl val="0"/>
      </c:catAx>
      <c:valAx>
        <c:axId val="136752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1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14</xdr:row>
      <xdr:rowOff>133350</xdr:rowOff>
    </xdr:from>
    <xdr:to>
      <xdr:col>14</xdr:col>
      <xdr:colOff>466725</xdr:colOff>
      <xdr:row>38</xdr:row>
      <xdr:rowOff>238125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D89C766-EA63-82AA-6054-7197166145BA}"/>
            </a:ext>
            <a:ext uri="{147F2762-F138-4A5C-976F-8EAC2B608ADB}">
              <a16:predDERef xmlns:a16="http://schemas.microsoft.com/office/drawing/2014/main" pred="{B9B335AB-3BFB-CFB6-414B-C4E883B7D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4.83282210648" createdVersion="8" refreshedVersion="8" minRefreshableVersion="3" recordCount="1338" xr:uid="{D20D6FF5-5F86-469D-AF73-C5EDE214CD7D}">
  <cacheSource type="worksheet">
    <worksheetSource ref="A1:G1339" sheet="in"/>
  </cacheSource>
  <cacheFields count="7">
    <cacheField name="age" numFmtId="0">
      <sharedItems containsSemiMixedTypes="0" containsString="0" containsNumber="1" containsInteger="1" minValue="18" maxValue="64" count="47">
        <n v="19"/>
        <n v="18"/>
        <n v="28"/>
        <n v="33"/>
        <n v="32"/>
        <n v="31"/>
        <n v="46"/>
        <n v="37"/>
        <n v="60"/>
        <n v="25"/>
        <n v="62"/>
        <n v="23"/>
        <n v="56"/>
        <n v="27"/>
        <n v="52"/>
        <n v="30"/>
        <n v="34"/>
        <n v="59"/>
        <n v="63"/>
        <n v="55"/>
        <n v="22"/>
        <n v="26"/>
        <n v="35"/>
        <n v="24"/>
        <n v="41"/>
        <n v="38"/>
        <n v="36"/>
        <n v="21"/>
        <n v="48"/>
        <n v="40"/>
        <n v="58"/>
        <n v="53"/>
        <n v="43"/>
        <n v="64"/>
        <n v="20"/>
        <n v="61"/>
        <n v="44"/>
        <n v="57"/>
        <n v="29"/>
        <n v="45"/>
        <n v="54"/>
        <n v="49"/>
        <n v="47"/>
        <n v="51"/>
        <n v="42"/>
        <n v="50"/>
        <n v="39"/>
      </sharedItems>
    </cacheField>
    <cacheField name="sex" numFmtId="0">
      <sharedItems count="2">
        <s v="female"/>
        <s v="male"/>
      </sharedItems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x v="0"/>
    <x v="0"/>
    <n v="27.9"/>
    <n v="0"/>
    <x v="0"/>
    <s v="southwest"/>
    <n v="16884.923999999999"/>
  </r>
  <r>
    <x v="1"/>
    <x v="1"/>
    <n v="33.770000000000003"/>
    <n v="1"/>
    <x v="1"/>
    <s v="southeast"/>
    <n v="1725.5523000000001"/>
  </r>
  <r>
    <x v="2"/>
    <x v="1"/>
    <n v="33"/>
    <n v="3"/>
    <x v="1"/>
    <s v="southeast"/>
    <n v="4449.4620000000004"/>
  </r>
  <r>
    <x v="3"/>
    <x v="1"/>
    <n v="22.704999999999998"/>
    <n v="0"/>
    <x v="1"/>
    <s v="northwest"/>
    <n v="21984.47061"/>
  </r>
  <r>
    <x v="4"/>
    <x v="1"/>
    <n v="28.88"/>
    <n v="0"/>
    <x v="1"/>
    <s v="northwest"/>
    <n v="3866.8552"/>
  </r>
  <r>
    <x v="5"/>
    <x v="0"/>
    <n v="25.74"/>
    <n v="0"/>
    <x v="1"/>
    <s v="southeast"/>
    <n v="3756.6215999999999"/>
  </r>
  <r>
    <x v="6"/>
    <x v="0"/>
    <n v="33.44"/>
    <n v="1"/>
    <x v="1"/>
    <s v="southeast"/>
    <n v="8240.5895999999993"/>
  </r>
  <r>
    <x v="7"/>
    <x v="0"/>
    <n v="27.74"/>
    <n v="3"/>
    <x v="1"/>
    <s v="northwest"/>
    <n v="7281.5056000000004"/>
  </r>
  <r>
    <x v="7"/>
    <x v="1"/>
    <n v="29.83"/>
    <n v="2"/>
    <x v="1"/>
    <s v="northeast"/>
    <n v="6406.4107000000004"/>
  </r>
  <r>
    <x v="8"/>
    <x v="0"/>
    <n v="25.84"/>
    <n v="0"/>
    <x v="1"/>
    <s v="northwest"/>
    <n v="28923.136920000001"/>
  </r>
  <r>
    <x v="9"/>
    <x v="1"/>
    <n v="26.22"/>
    <n v="0"/>
    <x v="1"/>
    <s v="northeast"/>
    <n v="2721.3208"/>
  </r>
  <r>
    <x v="10"/>
    <x v="0"/>
    <n v="26.29"/>
    <n v="0"/>
    <x v="0"/>
    <s v="southeast"/>
    <n v="27808.7251"/>
  </r>
  <r>
    <x v="11"/>
    <x v="1"/>
    <n v="34.4"/>
    <n v="0"/>
    <x v="1"/>
    <s v="southwest"/>
    <n v="1826.8430000000001"/>
  </r>
  <r>
    <x v="12"/>
    <x v="0"/>
    <n v="39.82"/>
    <n v="0"/>
    <x v="1"/>
    <s v="southeast"/>
    <n v="11090.7178"/>
  </r>
  <r>
    <x v="13"/>
    <x v="1"/>
    <n v="42.13"/>
    <n v="0"/>
    <x v="0"/>
    <s v="southeast"/>
    <n v="39611.757700000002"/>
  </r>
  <r>
    <x v="0"/>
    <x v="1"/>
    <n v="24.6"/>
    <n v="1"/>
    <x v="1"/>
    <s v="southwest"/>
    <n v="1837.2370000000001"/>
  </r>
  <r>
    <x v="14"/>
    <x v="0"/>
    <n v="30.78"/>
    <n v="1"/>
    <x v="1"/>
    <s v="northeast"/>
    <n v="10797.3362"/>
  </r>
  <r>
    <x v="11"/>
    <x v="1"/>
    <n v="23.844999999999999"/>
    <n v="0"/>
    <x v="1"/>
    <s v="northeast"/>
    <n v="2395.17155"/>
  </r>
  <r>
    <x v="12"/>
    <x v="1"/>
    <n v="40.299999999999997"/>
    <n v="0"/>
    <x v="1"/>
    <s v="southwest"/>
    <n v="10602.385"/>
  </r>
  <r>
    <x v="15"/>
    <x v="1"/>
    <n v="35.299999999999997"/>
    <n v="0"/>
    <x v="0"/>
    <s v="southwest"/>
    <n v="36837.466999999997"/>
  </r>
  <r>
    <x v="8"/>
    <x v="0"/>
    <n v="36.005000000000003"/>
    <n v="0"/>
    <x v="1"/>
    <s v="northeast"/>
    <n v="13228.846949999999"/>
  </r>
  <r>
    <x v="15"/>
    <x v="0"/>
    <n v="32.4"/>
    <n v="1"/>
    <x v="1"/>
    <s v="southwest"/>
    <n v="4149.7359999999999"/>
  </r>
  <r>
    <x v="1"/>
    <x v="1"/>
    <n v="34.1"/>
    <n v="0"/>
    <x v="1"/>
    <s v="southeast"/>
    <n v="1137.011"/>
  </r>
  <r>
    <x v="16"/>
    <x v="0"/>
    <n v="31.92"/>
    <n v="1"/>
    <x v="0"/>
    <s v="northeast"/>
    <n v="37701.876799999998"/>
  </r>
  <r>
    <x v="7"/>
    <x v="1"/>
    <n v="28.024999999999999"/>
    <n v="2"/>
    <x v="1"/>
    <s v="northwest"/>
    <n v="6203.90175"/>
  </r>
  <r>
    <x v="17"/>
    <x v="0"/>
    <n v="27.72"/>
    <n v="3"/>
    <x v="1"/>
    <s v="southeast"/>
    <n v="14001.1338"/>
  </r>
  <r>
    <x v="18"/>
    <x v="0"/>
    <n v="23.085000000000001"/>
    <n v="0"/>
    <x v="1"/>
    <s v="northeast"/>
    <n v="14451.835150000001"/>
  </r>
  <r>
    <x v="19"/>
    <x v="0"/>
    <n v="32.774999999999999"/>
    <n v="2"/>
    <x v="1"/>
    <s v="northwest"/>
    <n v="12268.632250000001"/>
  </r>
  <r>
    <x v="11"/>
    <x v="1"/>
    <n v="17.385000000000002"/>
    <n v="1"/>
    <x v="1"/>
    <s v="northwest"/>
    <n v="2775.1921499999999"/>
  </r>
  <r>
    <x v="5"/>
    <x v="1"/>
    <n v="36.299999999999997"/>
    <n v="2"/>
    <x v="0"/>
    <s v="southwest"/>
    <n v="38711"/>
  </r>
  <r>
    <x v="20"/>
    <x v="1"/>
    <n v="35.6"/>
    <n v="0"/>
    <x v="0"/>
    <s v="southwest"/>
    <n v="35585.576000000001"/>
  </r>
  <r>
    <x v="1"/>
    <x v="0"/>
    <n v="26.315000000000001"/>
    <n v="0"/>
    <x v="1"/>
    <s v="northeast"/>
    <n v="2198.1898500000002"/>
  </r>
  <r>
    <x v="0"/>
    <x v="0"/>
    <n v="28.6"/>
    <n v="5"/>
    <x v="1"/>
    <s v="southwest"/>
    <n v="4687.7969999999996"/>
  </r>
  <r>
    <x v="18"/>
    <x v="1"/>
    <n v="28.31"/>
    <n v="0"/>
    <x v="1"/>
    <s v="northwest"/>
    <n v="13770.097900000001"/>
  </r>
  <r>
    <x v="2"/>
    <x v="1"/>
    <n v="36.4"/>
    <n v="1"/>
    <x v="0"/>
    <s v="southwest"/>
    <n v="51194.559139999998"/>
  </r>
  <r>
    <x v="0"/>
    <x v="1"/>
    <n v="20.425000000000001"/>
    <n v="0"/>
    <x v="1"/>
    <s v="northwest"/>
    <n v="1625.4337499999999"/>
  </r>
  <r>
    <x v="10"/>
    <x v="0"/>
    <n v="32.965000000000003"/>
    <n v="3"/>
    <x v="1"/>
    <s v="northwest"/>
    <n v="15612.19335"/>
  </r>
  <r>
    <x v="21"/>
    <x v="1"/>
    <n v="20.8"/>
    <n v="0"/>
    <x v="1"/>
    <s v="southwest"/>
    <n v="2302.3000000000002"/>
  </r>
  <r>
    <x v="22"/>
    <x v="1"/>
    <n v="36.67"/>
    <n v="1"/>
    <x v="0"/>
    <s v="northeast"/>
    <n v="39774.276299999998"/>
  </r>
  <r>
    <x v="8"/>
    <x v="1"/>
    <n v="39.9"/>
    <n v="0"/>
    <x v="0"/>
    <s v="southwest"/>
    <n v="48173.360999999997"/>
  </r>
  <r>
    <x v="23"/>
    <x v="0"/>
    <n v="26.6"/>
    <n v="0"/>
    <x v="1"/>
    <s v="northeast"/>
    <n v="3046.0619999999999"/>
  </r>
  <r>
    <x v="5"/>
    <x v="0"/>
    <n v="36.630000000000003"/>
    <n v="2"/>
    <x v="1"/>
    <s v="southeast"/>
    <n v="4949.7587000000003"/>
  </r>
  <r>
    <x v="24"/>
    <x v="1"/>
    <n v="21.78"/>
    <n v="1"/>
    <x v="1"/>
    <s v="southeast"/>
    <n v="6272.4772000000003"/>
  </r>
  <r>
    <x v="7"/>
    <x v="0"/>
    <n v="30.8"/>
    <n v="2"/>
    <x v="1"/>
    <s v="southeast"/>
    <n v="6313.759"/>
  </r>
  <r>
    <x v="25"/>
    <x v="1"/>
    <n v="37.049999999999997"/>
    <n v="1"/>
    <x v="1"/>
    <s v="northeast"/>
    <n v="6079.6715000000004"/>
  </r>
  <r>
    <x v="19"/>
    <x v="1"/>
    <n v="37.299999999999997"/>
    <n v="0"/>
    <x v="1"/>
    <s v="southwest"/>
    <n v="20630.283510000001"/>
  </r>
  <r>
    <x v="1"/>
    <x v="0"/>
    <n v="38.664999999999999"/>
    <n v="2"/>
    <x v="1"/>
    <s v="northeast"/>
    <n v="3393.35635"/>
  </r>
  <r>
    <x v="2"/>
    <x v="0"/>
    <n v="34.770000000000003"/>
    <n v="0"/>
    <x v="1"/>
    <s v="northwest"/>
    <n v="3556.9223000000002"/>
  </r>
  <r>
    <x v="8"/>
    <x v="0"/>
    <n v="24.53"/>
    <n v="0"/>
    <x v="1"/>
    <s v="southeast"/>
    <n v="12629.896699999999"/>
  </r>
  <r>
    <x v="26"/>
    <x v="1"/>
    <n v="35.200000000000003"/>
    <n v="1"/>
    <x v="0"/>
    <s v="southeast"/>
    <n v="38709.175999999999"/>
  </r>
  <r>
    <x v="1"/>
    <x v="0"/>
    <n v="35.625"/>
    <n v="0"/>
    <x v="1"/>
    <s v="northeast"/>
    <n v="2211.1307499999998"/>
  </r>
  <r>
    <x v="27"/>
    <x v="0"/>
    <n v="33.630000000000003"/>
    <n v="2"/>
    <x v="1"/>
    <s v="northwest"/>
    <n v="3579.8287"/>
  </r>
  <r>
    <x v="28"/>
    <x v="1"/>
    <n v="28"/>
    <n v="1"/>
    <x v="0"/>
    <s v="southwest"/>
    <n v="23568.272000000001"/>
  </r>
  <r>
    <x v="26"/>
    <x v="1"/>
    <n v="34.43"/>
    <n v="0"/>
    <x v="0"/>
    <s v="southeast"/>
    <n v="37742.575700000001"/>
  </r>
  <r>
    <x v="29"/>
    <x v="0"/>
    <n v="28.69"/>
    <n v="3"/>
    <x v="1"/>
    <s v="northwest"/>
    <n v="8059.6791000000003"/>
  </r>
  <r>
    <x v="30"/>
    <x v="1"/>
    <n v="36.954999999999998"/>
    <n v="2"/>
    <x v="0"/>
    <s v="northwest"/>
    <n v="47496.494449999998"/>
  </r>
  <r>
    <x v="30"/>
    <x v="0"/>
    <n v="31.824999999999999"/>
    <n v="2"/>
    <x v="1"/>
    <s v="northeast"/>
    <n v="13607.36875"/>
  </r>
  <r>
    <x v="1"/>
    <x v="1"/>
    <n v="31.68"/>
    <n v="2"/>
    <x v="0"/>
    <s v="southeast"/>
    <n v="34303.167200000004"/>
  </r>
  <r>
    <x v="31"/>
    <x v="0"/>
    <n v="22.88"/>
    <n v="1"/>
    <x v="0"/>
    <s v="southeast"/>
    <n v="23244.790199999999"/>
  </r>
  <r>
    <x v="16"/>
    <x v="0"/>
    <n v="37.335000000000001"/>
    <n v="2"/>
    <x v="1"/>
    <s v="northwest"/>
    <n v="5989.5236500000001"/>
  </r>
  <r>
    <x v="32"/>
    <x v="1"/>
    <n v="27.36"/>
    <n v="3"/>
    <x v="1"/>
    <s v="northeast"/>
    <n v="8606.2173999999995"/>
  </r>
  <r>
    <x v="9"/>
    <x v="1"/>
    <n v="33.659999999999997"/>
    <n v="4"/>
    <x v="1"/>
    <s v="southeast"/>
    <n v="4504.6624000000002"/>
  </r>
  <r>
    <x v="33"/>
    <x v="1"/>
    <n v="24.7"/>
    <n v="1"/>
    <x v="1"/>
    <s v="northwest"/>
    <n v="30166.618170000002"/>
  </r>
  <r>
    <x v="2"/>
    <x v="0"/>
    <n v="25.934999999999999"/>
    <n v="1"/>
    <x v="1"/>
    <s v="northwest"/>
    <n v="4133.6416499999996"/>
  </r>
  <r>
    <x v="34"/>
    <x v="0"/>
    <n v="22.42"/>
    <n v="0"/>
    <x v="0"/>
    <s v="northwest"/>
    <n v="14711.7438"/>
  </r>
  <r>
    <x v="0"/>
    <x v="0"/>
    <n v="28.9"/>
    <n v="0"/>
    <x v="1"/>
    <s v="southwest"/>
    <n v="1743.2139999999999"/>
  </r>
  <r>
    <x v="35"/>
    <x v="0"/>
    <n v="39.1"/>
    <n v="2"/>
    <x v="1"/>
    <s v="southwest"/>
    <n v="14235.072"/>
  </r>
  <r>
    <x v="29"/>
    <x v="1"/>
    <n v="26.315000000000001"/>
    <n v="1"/>
    <x v="1"/>
    <s v="northwest"/>
    <n v="6389.3778499999999"/>
  </r>
  <r>
    <x v="29"/>
    <x v="0"/>
    <n v="36.19"/>
    <n v="0"/>
    <x v="1"/>
    <s v="southeast"/>
    <n v="5920.1040999999996"/>
  </r>
  <r>
    <x v="2"/>
    <x v="1"/>
    <n v="23.98"/>
    <n v="3"/>
    <x v="0"/>
    <s v="southeast"/>
    <n v="17663.144199999999"/>
  </r>
  <r>
    <x v="13"/>
    <x v="0"/>
    <n v="24.75"/>
    <n v="0"/>
    <x v="0"/>
    <s v="southeast"/>
    <n v="16577.779500000001"/>
  </r>
  <r>
    <x v="5"/>
    <x v="1"/>
    <n v="28.5"/>
    <n v="5"/>
    <x v="1"/>
    <s v="northeast"/>
    <n v="6799.4579999999996"/>
  </r>
  <r>
    <x v="31"/>
    <x v="0"/>
    <n v="28.1"/>
    <n v="3"/>
    <x v="1"/>
    <s v="southwest"/>
    <n v="11741.726000000001"/>
  </r>
  <r>
    <x v="30"/>
    <x v="1"/>
    <n v="32.01"/>
    <n v="1"/>
    <x v="1"/>
    <s v="southeast"/>
    <n v="11946.625899999999"/>
  </r>
  <r>
    <x v="36"/>
    <x v="1"/>
    <n v="27.4"/>
    <n v="2"/>
    <x v="1"/>
    <s v="southwest"/>
    <n v="7726.8540000000003"/>
  </r>
  <r>
    <x v="37"/>
    <x v="1"/>
    <n v="34.01"/>
    <n v="0"/>
    <x v="1"/>
    <s v="northwest"/>
    <n v="11356.660900000001"/>
  </r>
  <r>
    <x v="38"/>
    <x v="0"/>
    <n v="29.59"/>
    <n v="1"/>
    <x v="1"/>
    <s v="southeast"/>
    <n v="3947.4131000000002"/>
  </r>
  <r>
    <x v="27"/>
    <x v="1"/>
    <n v="35.53"/>
    <n v="0"/>
    <x v="1"/>
    <s v="southeast"/>
    <n v="1532.4697000000001"/>
  </r>
  <r>
    <x v="20"/>
    <x v="0"/>
    <n v="39.805"/>
    <n v="0"/>
    <x v="1"/>
    <s v="northeast"/>
    <n v="2755.0209500000001"/>
  </r>
  <r>
    <x v="24"/>
    <x v="0"/>
    <n v="32.965000000000003"/>
    <n v="0"/>
    <x v="1"/>
    <s v="northwest"/>
    <n v="6571.0243499999997"/>
  </r>
  <r>
    <x v="5"/>
    <x v="1"/>
    <n v="26.885000000000002"/>
    <n v="1"/>
    <x v="1"/>
    <s v="northeast"/>
    <n v="4441.2131499999996"/>
  </r>
  <r>
    <x v="39"/>
    <x v="0"/>
    <n v="38.284999999999997"/>
    <n v="0"/>
    <x v="1"/>
    <s v="northeast"/>
    <n v="7935.29115"/>
  </r>
  <r>
    <x v="20"/>
    <x v="1"/>
    <n v="37.619999999999997"/>
    <n v="1"/>
    <x v="0"/>
    <s v="southeast"/>
    <n v="37165.163800000002"/>
  </r>
  <r>
    <x v="28"/>
    <x v="0"/>
    <n v="41.23"/>
    <n v="4"/>
    <x v="1"/>
    <s v="northwest"/>
    <n v="11033.661700000001"/>
  </r>
  <r>
    <x v="7"/>
    <x v="0"/>
    <n v="34.799999999999997"/>
    <n v="2"/>
    <x v="0"/>
    <s v="southwest"/>
    <n v="39836.519"/>
  </r>
  <r>
    <x v="39"/>
    <x v="1"/>
    <n v="22.895"/>
    <n v="2"/>
    <x v="0"/>
    <s v="northwest"/>
    <n v="21098.554049999999"/>
  </r>
  <r>
    <x v="37"/>
    <x v="0"/>
    <n v="31.16"/>
    <n v="0"/>
    <x v="0"/>
    <s v="northwest"/>
    <n v="43578.939400000003"/>
  </r>
  <r>
    <x v="12"/>
    <x v="0"/>
    <n v="27.2"/>
    <n v="0"/>
    <x v="1"/>
    <s v="southwest"/>
    <n v="11073.175999999999"/>
  </r>
  <r>
    <x v="6"/>
    <x v="0"/>
    <n v="27.74"/>
    <n v="0"/>
    <x v="1"/>
    <s v="northwest"/>
    <n v="8026.6665999999996"/>
  </r>
  <r>
    <x v="19"/>
    <x v="0"/>
    <n v="26.98"/>
    <n v="0"/>
    <x v="1"/>
    <s v="northwest"/>
    <n v="11082.5772"/>
  </r>
  <r>
    <x v="27"/>
    <x v="0"/>
    <n v="39.49"/>
    <n v="0"/>
    <x v="1"/>
    <s v="southeast"/>
    <n v="2026.9740999999999"/>
  </r>
  <r>
    <x v="31"/>
    <x v="0"/>
    <n v="24.795000000000002"/>
    <n v="1"/>
    <x v="1"/>
    <s v="northwest"/>
    <n v="10942.13205"/>
  </r>
  <r>
    <x v="17"/>
    <x v="1"/>
    <n v="29.83"/>
    <n v="3"/>
    <x v="0"/>
    <s v="northeast"/>
    <n v="30184.936699999998"/>
  </r>
  <r>
    <x v="22"/>
    <x v="1"/>
    <n v="34.770000000000003"/>
    <n v="2"/>
    <x v="1"/>
    <s v="northwest"/>
    <n v="5729.0052999999998"/>
  </r>
  <r>
    <x v="33"/>
    <x v="0"/>
    <n v="31.3"/>
    <n v="2"/>
    <x v="0"/>
    <s v="southwest"/>
    <n v="47291.055"/>
  </r>
  <r>
    <x v="2"/>
    <x v="0"/>
    <n v="37.619999999999997"/>
    <n v="1"/>
    <x v="1"/>
    <s v="southeast"/>
    <n v="3766.8838000000001"/>
  </r>
  <r>
    <x v="40"/>
    <x v="0"/>
    <n v="30.8"/>
    <n v="3"/>
    <x v="1"/>
    <s v="southwest"/>
    <n v="12105.32"/>
  </r>
  <r>
    <x v="19"/>
    <x v="1"/>
    <n v="38.28"/>
    <n v="0"/>
    <x v="1"/>
    <s v="southeast"/>
    <n v="10226.2842"/>
  </r>
  <r>
    <x v="12"/>
    <x v="1"/>
    <n v="19.95"/>
    <n v="0"/>
    <x v="0"/>
    <s v="northeast"/>
    <n v="22412.648499999999"/>
  </r>
  <r>
    <x v="25"/>
    <x v="1"/>
    <n v="19.3"/>
    <n v="0"/>
    <x v="0"/>
    <s v="southwest"/>
    <n v="15820.699000000001"/>
  </r>
  <r>
    <x v="24"/>
    <x v="0"/>
    <n v="31.6"/>
    <n v="0"/>
    <x v="1"/>
    <s v="southwest"/>
    <n v="6186.1270000000004"/>
  </r>
  <r>
    <x v="15"/>
    <x v="1"/>
    <n v="25.46"/>
    <n v="0"/>
    <x v="1"/>
    <s v="northeast"/>
    <n v="3645.0893999999998"/>
  </r>
  <r>
    <x v="1"/>
    <x v="0"/>
    <n v="30.114999999999998"/>
    <n v="0"/>
    <x v="1"/>
    <s v="northeast"/>
    <n v="21344.846699999998"/>
  </r>
  <r>
    <x v="35"/>
    <x v="0"/>
    <n v="29.92"/>
    <n v="3"/>
    <x v="0"/>
    <s v="southeast"/>
    <n v="30942.191800000001"/>
  </r>
  <r>
    <x v="16"/>
    <x v="0"/>
    <n v="27.5"/>
    <n v="1"/>
    <x v="1"/>
    <s v="southwest"/>
    <n v="5003.8530000000001"/>
  </r>
  <r>
    <x v="34"/>
    <x v="1"/>
    <n v="28.024999999999999"/>
    <n v="1"/>
    <x v="0"/>
    <s v="northwest"/>
    <n v="17560.37975"/>
  </r>
  <r>
    <x v="0"/>
    <x v="0"/>
    <n v="28.4"/>
    <n v="1"/>
    <x v="1"/>
    <s v="southwest"/>
    <n v="2331.5189999999998"/>
  </r>
  <r>
    <x v="21"/>
    <x v="1"/>
    <n v="30.875"/>
    <n v="2"/>
    <x v="1"/>
    <s v="northwest"/>
    <n v="3877.3042500000001"/>
  </r>
  <r>
    <x v="38"/>
    <x v="1"/>
    <n v="27.94"/>
    <n v="0"/>
    <x v="1"/>
    <s v="southeast"/>
    <n v="2867.1196"/>
  </r>
  <r>
    <x v="18"/>
    <x v="1"/>
    <n v="35.090000000000003"/>
    <n v="0"/>
    <x v="0"/>
    <s v="southeast"/>
    <n v="47055.532099999997"/>
  </r>
  <r>
    <x v="40"/>
    <x v="1"/>
    <n v="33.630000000000003"/>
    <n v="1"/>
    <x v="1"/>
    <s v="northwest"/>
    <n v="10825.253699999999"/>
  </r>
  <r>
    <x v="19"/>
    <x v="0"/>
    <n v="29.7"/>
    <n v="2"/>
    <x v="1"/>
    <s v="southwest"/>
    <n v="11881.358"/>
  </r>
  <r>
    <x v="7"/>
    <x v="1"/>
    <n v="30.8"/>
    <n v="0"/>
    <x v="1"/>
    <s v="southwest"/>
    <n v="4646.759"/>
  </r>
  <r>
    <x v="27"/>
    <x v="0"/>
    <n v="35.72"/>
    <n v="0"/>
    <x v="1"/>
    <s v="northwest"/>
    <n v="2404.7338"/>
  </r>
  <r>
    <x v="14"/>
    <x v="1"/>
    <n v="32.204999999999998"/>
    <n v="3"/>
    <x v="1"/>
    <s v="northeast"/>
    <n v="11488.31695"/>
  </r>
  <r>
    <x v="8"/>
    <x v="1"/>
    <n v="28.594999999999999"/>
    <n v="0"/>
    <x v="1"/>
    <s v="northeast"/>
    <n v="30259.995559999999"/>
  </r>
  <r>
    <x v="30"/>
    <x v="1"/>
    <n v="49.06"/>
    <n v="0"/>
    <x v="1"/>
    <s v="southeast"/>
    <n v="11381.3254"/>
  </r>
  <r>
    <x v="38"/>
    <x v="0"/>
    <n v="27.94"/>
    <n v="1"/>
    <x v="0"/>
    <s v="southeast"/>
    <n v="19107.779600000002"/>
  </r>
  <r>
    <x v="41"/>
    <x v="0"/>
    <n v="27.17"/>
    <n v="0"/>
    <x v="1"/>
    <s v="southeast"/>
    <n v="8601.3292999999994"/>
  </r>
  <r>
    <x v="7"/>
    <x v="0"/>
    <n v="23.37"/>
    <n v="2"/>
    <x v="1"/>
    <s v="northwest"/>
    <n v="6686.4313000000002"/>
  </r>
  <r>
    <x v="36"/>
    <x v="1"/>
    <n v="37.1"/>
    <n v="2"/>
    <x v="1"/>
    <s v="southwest"/>
    <n v="7740.3370000000004"/>
  </r>
  <r>
    <x v="1"/>
    <x v="1"/>
    <n v="23.75"/>
    <n v="0"/>
    <x v="1"/>
    <s v="northeast"/>
    <n v="1705.6244999999999"/>
  </r>
  <r>
    <x v="34"/>
    <x v="0"/>
    <n v="28.975000000000001"/>
    <n v="0"/>
    <x v="1"/>
    <s v="northwest"/>
    <n v="2257.47525"/>
  </r>
  <r>
    <x v="36"/>
    <x v="1"/>
    <n v="31.35"/>
    <n v="1"/>
    <x v="0"/>
    <s v="northeast"/>
    <n v="39556.494500000001"/>
  </r>
  <r>
    <x v="42"/>
    <x v="0"/>
    <n v="33.914999999999999"/>
    <n v="3"/>
    <x v="1"/>
    <s v="northwest"/>
    <n v="10115.00885"/>
  </r>
  <r>
    <x v="21"/>
    <x v="0"/>
    <n v="28.785"/>
    <n v="0"/>
    <x v="1"/>
    <s v="northeast"/>
    <n v="3385.3991500000002"/>
  </r>
  <r>
    <x v="0"/>
    <x v="0"/>
    <n v="28.3"/>
    <n v="0"/>
    <x v="0"/>
    <s v="southwest"/>
    <n v="17081.080000000002"/>
  </r>
  <r>
    <x v="14"/>
    <x v="0"/>
    <n v="37.4"/>
    <n v="0"/>
    <x v="1"/>
    <s v="southwest"/>
    <n v="9634.5380000000005"/>
  </r>
  <r>
    <x v="4"/>
    <x v="0"/>
    <n v="17.765000000000001"/>
    <n v="2"/>
    <x v="0"/>
    <s v="northwest"/>
    <n v="32734.186300000001"/>
  </r>
  <r>
    <x v="25"/>
    <x v="1"/>
    <n v="34.700000000000003"/>
    <n v="2"/>
    <x v="1"/>
    <s v="southwest"/>
    <n v="6082.4049999999997"/>
  </r>
  <r>
    <x v="17"/>
    <x v="0"/>
    <n v="26.504999999999999"/>
    <n v="0"/>
    <x v="1"/>
    <s v="northeast"/>
    <n v="12815.444949999999"/>
  </r>
  <r>
    <x v="35"/>
    <x v="0"/>
    <n v="22.04"/>
    <n v="0"/>
    <x v="1"/>
    <s v="northeast"/>
    <n v="13616.3586"/>
  </r>
  <r>
    <x v="31"/>
    <x v="0"/>
    <n v="35.9"/>
    <n v="2"/>
    <x v="1"/>
    <s v="southwest"/>
    <n v="11163.567999999999"/>
  </r>
  <r>
    <x v="0"/>
    <x v="1"/>
    <n v="25.555"/>
    <n v="0"/>
    <x v="1"/>
    <s v="northwest"/>
    <n v="1632.5644500000001"/>
  </r>
  <r>
    <x v="34"/>
    <x v="0"/>
    <n v="28.785"/>
    <n v="0"/>
    <x v="1"/>
    <s v="northeast"/>
    <n v="2457.2111500000001"/>
  </r>
  <r>
    <x v="20"/>
    <x v="0"/>
    <n v="28.05"/>
    <n v="0"/>
    <x v="1"/>
    <s v="southeast"/>
    <n v="2155.6815000000001"/>
  </r>
  <r>
    <x v="0"/>
    <x v="1"/>
    <n v="34.1"/>
    <n v="0"/>
    <x v="1"/>
    <s v="southwest"/>
    <n v="1261.442"/>
  </r>
  <r>
    <x v="20"/>
    <x v="1"/>
    <n v="25.175000000000001"/>
    <n v="0"/>
    <x v="1"/>
    <s v="northwest"/>
    <n v="2045.68525"/>
  </r>
  <r>
    <x v="40"/>
    <x v="0"/>
    <n v="31.9"/>
    <n v="3"/>
    <x v="1"/>
    <s v="southeast"/>
    <n v="27322.73386"/>
  </r>
  <r>
    <x v="20"/>
    <x v="0"/>
    <n v="36"/>
    <n v="0"/>
    <x v="1"/>
    <s v="southwest"/>
    <n v="2166.732"/>
  </r>
  <r>
    <x v="16"/>
    <x v="1"/>
    <n v="22.42"/>
    <n v="2"/>
    <x v="1"/>
    <s v="northeast"/>
    <n v="27375.904780000001"/>
  </r>
  <r>
    <x v="21"/>
    <x v="1"/>
    <n v="32.49"/>
    <n v="1"/>
    <x v="1"/>
    <s v="northeast"/>
    <n v="3490.5491000000002"/>
  </r>
  <r>
    <x v="16"/>
    <x v="1"/>
    <n v="25.3"/>
    <n v="2"/>
    <x v="0"/>
    <s v="southeast"/>
    <n v="18972.494999999999"/>
  </r>
  <r>
    <x v="38"/>
    <x v="1"/>
    <n v="29.734999999999999"/>
    <n v="2"/>
    <x v="1"/>
    <s v="northwest"/>
    <n v="18157.876"/>
  </r>
  <r>
    <x v="15"/>
    <x v="1"/>
    <n v="28.69"/>
    <n v="3"/>
    <x v="0"/>
    <s v="northwest"/>
    <n v="20745.989099999999"/>
  </r>
  <r>
    <x v="38"/>
    <x v="0"/>
    <n v="38.83"/>
    <n v="3"/>
    <x v="1"/>
    <s v="southeast"/>
    <n v="5138.2566999999999"/>
  </r>
  <r>
    <x v="6"/>
    <x v="1"/>
    <n v="30.495000000000001"/>
    <n v="3"/>
    <x v="0"/>
    <s v="northwest"/>
    <n v="40720.551050000002"/>
  </r>
  <r>
    <x v="43"/>
    <x v="0"/>
    <n v="37.729999999999997"/>
    <n v="1"/>
    <x v="1"/>
    <s v="southeast"/>
    <n v="9877.6077000000005"/>
  </r>
  <r>
    <x v="31"/>
    <x v="0"/>
    <n v="37.43"/>
    <n v="1"/>
    <x v="1"/>
    <s v="northwest"/>
    <n v="10959.6947"/>
  </r>
  <r>
    <x v="0"/>
    <x v="1"/>
    <n v="28.4"/>
    <n v="1"/>
    <x v="1"/>
    <s v="southwest"/>
    <n v="1842.519"/>
  </r>
  <r>
    <x v="22"/>
    <x v="1"/>
    <n v="24.13"/>
    <n v="1"/>
    <x v="1"/>
    <s v="northwest"/>
    <n v="5125.2156999999997"/>
  </r>
  <r>
    <x v="28"/>
    <x v="1"/>
    <n v="29.7"/>
    <n v="0"/>
    <x v="1"/>
    <s v="southeast"/>
    <n v="7789.6350000000002"/>
  </r>
  <r>
    <x v="4"/>
    <x v="0"/>
    <n v="37.145000000000003"/>
    <n v="3"/>
    <x v="1"/>
    <s v="northeast"/>
    <n v="6334.3435499999996"/>
  </r>
  <r>
    <x v="44"/>
    <x v="0"/>
    <n v="23.37"/>
    <n v="0"/>
    <x v="0"/>
    <s v="northeast"/>
    <n v="19964.746299999999"/>
  </r>
  <r>
    <x v="29"/>
    <x v="0"/>
    <n v="25.46"/>
    <n v="1"/>
    <x v="1"/>
    <s v="northeast"/>
    <n v="7077.1894000000002"/>
  </r>
  <r>
    <x v="36"/>
    <x v="1"/>
    <n v="39.520000000000003"/>
    <n v="0"/>
    <x v="1"/>
    <s v="northwest"/>
    <n v="6948.7007999999996"/>
  </r>
  <r>
    <x v="28"/>
    <x v="1"/>
    <n v="24.42"/>
    <n v="0"/>
    <x v="0"/>
    <s v="southeast"/>
    <n v="21223.675800000001"/>
  </r>
  <r>
    <x v="1"/>
    <x v="1"/>
    <n v="25.175000000000001"/>
    <n v="0"/>
    <x v="0"/>
    <s v="northeast"/>
    <n v="15518.180249999999"/>
  </r>
  <r>
    <x v="15"/>
    <x v="1"/>
    <n v="35.53"/>
    <n v="0"/>
    <x v="0"/>
    <s v="southeast"/>
    <n v="36950.256699999998"/>
  </r>
  <r>
    <x v="45"/>
    <x v="0"/>
    <n v="27.83"/>
    <n v="3"/>
    <x v="1"/>
    <s v="southeast"/>
    <n v="19749.383379999999"/>
  </r>
  <r>
    <x v="44"/>
    <x v="0"/>
    <n v="26.6"/>
    <n v="0"/>
    <x v="0"/>
    <s v="northwest"/>
    <n v="21348.705999999998"/>
  </r>
  <r>
    <x v="1"/>
    <x v="0"/>
    <n v="36.85"/>
    <n v="0"/>
    <x v="0"/>
    <s v="southeast"/>
    <n v="36149.483500000002"/>
  </r>
  <r>
    <x v="40"/>
    <x v="1"/>
    <n v="39.6"/>
    <n v="1"/>
    <x v="1"/>
    <s v="southwest"/>
    <n v="10450.552"/>
  </r>
  <r>
    <x v="4"/>
    <x v="0"/>
    <n v="29.8"/>
    <n v="2"/>
    <x v="1"/>
    <s v="southwest"/>
    <n v="5152.134"/>
  </r>
  <r>
    <x v="7"/>
    <x v="1"/>
    <n v="29.64"/>
    <n v="0"/>
    <x v="1"/>
    <s v="northwest"/>
    <n v="5028.1466"/>
  </r>
  <r>
    <x v="42"/>
    <x v="1"/>
    <n v="28.215"/>
    <n v="4"/>
    <x v="1"/>
    <s v="northeast"/>
    <n v="10407.085849999999"/>
  </r>
  <r>
    <x v="34"/>
    <x v="0"/>
    <n v="37"/>
    <n v="5"/>
    <x v="1"/>
    <s v="southwest"/>
    <n v="4830.63"/>
  </r>
  <r>
    <x v="4"/>
    <x v="0"/>
    <n v="33.155000000000001"/>
    <n v="3"/>
    <x v="1"/>
    <s v="northwest"/>
    <n v="6128.79745"/>
  </r>
  <r>
    <x v="0"/>
    <x v="0"/>
    <n v="31.824999999999999"/>
    <n v="1"/>
    <x v="1"/>
    <s v="northwest"/>
    <n v="2719.2797500000001"/>
  </r>
  <r>
    <x v="13"/>
    <x v="1"/>
    <n v="18.905000000000001"/>
    <n v="3"/>
    <x v="1"/>
    <s v="northeast"/>
    <n v="4827.9049500000001"/>
  </r>
  <r>
    <x v="18"/>
    <x v="1"/>
    <n v="41.47"/>
    <n v="0"/>
    <x v="1"/>
    <s v="southeast"/>
    <n v="13405.390299999999"/>
  </r>
  <r>
    <x v="41"/>
    <x v="1"/>
    <n v="30.3"/>
    <n v="0"/>
    <x v="1"/>
    <s v="southwest"/>
    <n v="8116.68"/>
  </r>
  <r>
    <x v="1"/>
    <x v="1"/>
    <n v="15.96"/>
    <n v="0"/>
    <x v="1"/>
    <s v="northeast"/>
    <n v="1694.7963999999999"/>
  </r>
  <r>
    <x v="22"/>
    <x v="0"/>
    <n v="34.799999999999997"/>
    <n v="1"/>
    <x v="1"/>
    <s v="southwest"/>
    <n v="5246.0469999999996"/>
  </r>
  <r>
    <x v="23"/>
    <x v="0"/>
    <n v="33.344999999999999"/>
    <n v="0"/>
    <x v="1"/>
    <s v="northwest"/>
    <n v="2855.4375500000001"/>
  </r>
  <r>
    <x v="18"/>
    <x v="0"/>
    <n v="37.700000000000003"/>
    <n v="0"/>
    <x v="0"/>
    <s v="southwest"/>
    <n v="48824.45"/>
  </r>
  <r>
    <x v="25"/>
    <x v="1"/>
    <n v="27.835000000000001"/>
    <n v="2"/>
    <x v="1"/>
    <s v="northwest"/>
    <n v="6455.86265"/>
  </r>
  <r>
    <x v="40"/>
    <x v="1"/>
    <n v="29.2"/>
    <n v="1"/>
    <x v="1"/>
    <s v="southwest"/>
    <n v="10436.096"/>
  </r>
  <r>
    <x v="6"/>
    <x v="0"/>
    <n v="28.9"/>
    <n v="2"/>
    <x v="1"/>
    <s v="southwest"/>
    <n v="8823.2790000000005"/>
  </r>
  <r>
    <x v="24"/>
    <x v="0"/>
    <n v="33.155000000000001"/>
    <n v="3"/>
    <x v="1"/>
    <s v="northeast"/>
    <n v="8538.28845"/>
  </r>
  <r>
    <x v="30"/>
    <x v="1"/>
    <n v="28.594999999999999"/>
    <n v="0"/>
    <x v="1"/>
    <s v="northwest"/>
    <n v="11735.87905"/>
  </r>
  <r>
    <x v="1"/>
    <x v="0"/>
    <n v="38.28"/>
    <n v="0"/>
    <x v="1"/>
    <s v="southeast"/>
    <n v="1631.8212000000001"/>
  </r>
  <r>
    <x v="20"/>
    <x v="1"/>
    <n v="19.95"/>
    <n v="3"/>
    <x v="1"/>
    <s v="northeast"/>
    <n v="4005.4225000000001"/>
  </r>
  <r>
    <x v="36"/>
    <x v="0"/>
    <n v="26.41"/>
    <n v="0"/>
    <x v="1"/>
    <s v="northwest"/>
    <n v="7419.4778999999999"/>
  </r>
  <r>
    <x v="36"/>
    <x v="1"/>
    <n v="30.69"/>
    <n v="2"/>
    <x v="1"/>
    <s v="southeast"/>
    <n v="7731.4270999999999"/>
  </r>
  <r>
    <x v="26"/>
    <x v="1"/>
    <n v="41.895000000000003"/>
    <n v="3"/>
    <x v="0"/>
    <s v="northeast"/>
    <n v="43753.337050000002"/>
  </r>
  <r>
    <x v="21"/>
    <x v="0"/>
    <n v="29.92"/>
    <n v="2"/>
    <x v="1"/>
    <s v="southeast"/>
    <n v="3981.9767999999999"/>
  </r>
  <r>
    <x v="15"/>
    <x v="0"/>
    <n v="30.9"/>
    <n v="3"/>
    <x v="1"/>
    <s v="southwest"/>
    <n v="5325.6509999999998"/>
  </r>
  <r>
    <x v="24"/>
    <x v="0"/>
    <n v="32.200000000000003"/>
    <n v="1"/>
    <x v="1"/>
    <s v="southwest"/>
    <n v="6775.9610000000002"/>
  </r>
  <r>
    <x v="38"/>
    <x v="0"/>
    <n v="32.11"/>
    <n v="2"/>
    <x v="1"/>
    <s v="northwest"/>
    <n v="4922.9159"/>
  </r>
  <r>
    <x v="35"/>
    <x v="1"/>
    <n v="31.57"/>
    <n v="0"/>
    <x v="1"/>
    <s v="southeast"/>
    <n v="12557.605299999999"/>
  </r>
  <r>
    <x v="26"/>
    <x v="0"/>
    <n v="26.2"/>
    <n v="0"/>
    <x v="1"/>
    <s v="southwest"/>
    <n v="4883.866"/>
  </r>
  <r>
    <x v="9"/>
    <x v="1"/>
    <n v="25.74"/>
    <n v="0"/>
    <x v="1"/>
    <s v="southeast"/>
    <n v="2137.6536000000001"/>
  </r>
  <r>
    <x v="12"/>
    <x v="0"/>
    <n v="26.6"/>
    <n v="1"/>
    <x v="1"/>
    <s v="northwest"/>
    <n v="12044.342000000001"/>
  </r>
  <r>
    <x v="1"/>
    <x v="1"/>
    <n v="34.43"/>
    <n v="0"/>
    <x v="1"/>
    <s v="southeast"/>
    <n v="1137.4697000000001"/>
  </r>
  <r>
    <x v="0"/>
    <x v="1"/>
    <n v="30.59"/>
    <n v="0"/>
    <x v="1"/>
    <s v="northwest"/>
    <n v="1639.5631000000001"/>
  </r>
  <r>
    <x v="46"/>
    <x v="0"/>
    <n v="32.799999999999997"/>
    <n v="0"/>
    <x v="1"/>
    <s v="southwest"/>
    <n v="5649.7150000000001"/>
  </r>
  <r>
    <x v="39"/>
    <x v="0"/>
    <n v="28.6"/>
    <n v="2"/>
    <x v="1"/>
    <s v="southeast"/>
    <n v="8516.8289999999997"/>
  </r>
  <r>
    <x v="43"/>
    <x v="0"/>
    <n v="18.05"/>
    <n v="0"/>
    <x v="1"/>
    <s v="northwest"/>
    <n v="9644.2525000000005"/>
  </r>
  <r>
    <x v="33"/>
    <x v="0"/>
    <n v="39.33"/>
    <n v="0"/>
    <x v="1"/>
    <s v="northeast"/>
    <n v="14901.5167"/>
  </r>
  <r>
    <x v="0"/>
    <x v="0"/>
    <n v="32.11"/>
    <n v="0"/>
    <x v="1"/>
    <s v="northwest"/>
    <n v="2130.6759000000002"/>
  </r>
  <r>
    <x v="28"/>
    <x v="0"/>
    <n v="32.229999999999997"/>
    <n v="1"/>
    <x v="1"/>
    <s v="southeast"/>
    <n v="8871.1517000000003"/>
  </r>
  <r>
    <x v="8"/>
    <x v="0"/>
    <n v="24.035"/>
    <n v="0"/>
    <x v="1"/>
    <s v="northwest"/>
    <n v="13012.20865"/>
  </r>
  <r>
    <x v="13"/>
    <x v="0"/>
    <n v="36.08"/>
    <n v="0"/>
    <x v="0"/>
    <s v="southeast"/>
    <n v="37133.898200000003"/>
  </r>
  <r>
    <x v="6"/>
    <x v="1"/>
    <n v="22.3"/>
    <n v="0"/>
    <x v="1"/>
    <s v="southwest"/>
    <n v="7147.1049999999996"/>
  </r>
  <r>
    <x v="2"/>
    <x v="0"/>
    <n v="28.88"/>
    <n v="1"/>
    <x v="1"/>
    <s v="northeast"/>
    <n v="4337.7352000000001"/>
  </r>
  <r>
    <x v="17"/>
    <x v="1"/>
    <n v="26.4"/>
    <n v="0"/>
    <x v="1"/>
    <s v="southeast"/>
    <n v="11743.299000000001"/>
  </r>
  <r>
    <x v="22"/>
    <x v="1"/>
    <n v="27.74"/>
    <n v="2"/>
    <x v="0"/>
    <s v="northeast"/>
    <n v="20984.0936"/>
  </r>
  <r>
    <x v="18"/>
    <x v="0"/>
    <n v="31.8"/>
    <n v="0"/>
    <x v="1"/>
    <s v="southwest"/>
    <n v="13880.949000000001"/>
  </r>
  <r>
    <x v="29"/>
    <x v="1"/>
    <n v="41.23"/>
    <n v="1"/>
    <x v="1"/>
    <s v="northeast"/>
    <n v="6610.1097"/>
  </r>
  <r>
    <x v="34"/>
    <x v="1"/>
    <n v="33"/>
    <n v="1"/>
    <x v="1"/>
    <s v="southwest"/>
    <n v="1980.07"/>
  </r>
  <r>
    <x v="29"/>
    <x v="1"/>
    <n v="30.875"/>
    <n v="4"/>
    <x v="1"/>
    <s v="northwest"/>
    <n v="8162.7162500000004"/>
  </r>
  <r>
    <x v="23"/>
    <x v="1"/>
    <n v="28.5"/>
    <n v="2"/>
    <x v="1"/>
    <s v="northwest"/>
    <n v="3537.703"/>
  </r>
  <r>
    <x v="16"/>
    <x v="0"/>
    <n v="26.73"/>
    <n v="1"/>
    <x v="1"/>
    <s v="southeast"/>
    <n v="5002.7826999999997"/>
  </r>
  <r>
    <x v="39"/>
    <x v="0"/>
    <n v="30.9"/>
    <n v="2"/>
    <x v="1"/>
    <s v="southwest"/>
    <n v="8520.0259999999998"/>
  </r>
  <r>
    <x v="24"/>
    <x v="0"/>
    <n v="37.1"/>
    <n v="2"/>
    <x v="1"/>
    <s v="southwest"/>
    <n v="7371.7719999999999"/>
  </r>
  <r>
    <x v="31"/>
    <x v="0"/>
    <n v="26.6"/>
    <n v="0"/>
    <x v="1"/>
    <s v="northwest"/>
    <n v="10355.641"/>
  </r>
  <r>
    <x v="13"/>
    <x v="1"/>
    <n v="23.1"/>
    <n v="0"/>
    <x v="1"/>
    <s v="southeast"/>
    <n v="2483.7359999999999"/>
  </r>
  <r>
    <x v="21"/>
    <x v="0"/>
    <n v="29.92"/>
    <n v="1"/>
    <x v="1"/>
    <s v="southeast"/>
    <n v="3392.9767999999999"/>
  </r>
  <r>
    <x v="23"/>
    <x v="0"/>
    <n v="23.21"/>
    <n v="0"/>
    <x v="1"/>
    <s v="southeast"/>
    <n v="25081.76784"/>
  </r>
  <r>
    <x v="16"/>
    <x v="0"/>
    <n v="33.700000000000003"/>
    <n v="1"/>
    <x v="1"/>
    <s v="southwest"/>
    <n v="5012.4709999999995"/>
  </r>
  <r>
    <x v="31"/>
    <x v="0"/>
    <n v="33.25"/>
    <n v="0"/>
    <x v="1"/>
    <s v="northeast"/>
    <n v="10564.8845"/>
  </r>
  <r>
    <x v="4"/>
    <x v="1"/>
    <n v="30.8"/>
    <n v="3"/>
    <x v="1"/>
    <s v="southwest"/>
    <n v="5253.5240000000003"/>
  </r>
  <r>
    <x v="0"/>
    <x v="1"/>
    <n v="34.799999999999997"/>
    <n v="0"/>
    <x v="0"/>
    <s v="southwest"/>
    <n v="34779.614999999998"/>
  </r>
  <r>
    <x v="44"/>
    <x v="1"/>
    <n v="24.64"/>
    <n v="0"/>
    <x v="0"/>
    <s v="southeast"/>
    <n v="19515.5416"/>
  </r>
  <r>
    <x v="19"/>
    <x v="1"/>
    <n v="33.880000000000003"/>
    <n v="3"/>
    <x v="1"/>
    <s v="southeast"/>
    <n v="11987.1682"/>
  </r>
  <r>
    <x v="2"/>
    <x v="1"/>
    <n v="38.06"/>
    <n v="0"/>
    <x v="1"/>
    <s v="southeast"/>
    <n v="2689.4953999999998"/>
  </r>
  <r>
    <x v="30"/>
    <x v="0"/>
    <n v="41.91"/>
    <n v="0"/>
    <x v="1"/>
    <s v="southeast"/>
    <n v="24227.337240000001"/>
  </r>
  <r>
    <x v="24"/>
    <x v="0"/>
    <n v="31.635000000000002"/>
    <n v="1"/>
    <x v="1"/>
    <s v="northeast"/>
    <n v="7358.1756500000001"/>
  </r>
  <r>
    <x v="42"/>
    <x v="1"/>
    <n v="25.46"/>
    <n v="2"/>
    <x v="1"/>
    <s v="northeast"/>
    <n v="9225.2564000000002"/>
  </r>
  <r>
    <x v="44"/>
    <x v="0"/>
    <n v="36.195"/>
    <n v="1"/>
    <x v="1"/>
    <s v="northwest"/>
    <n v="7443.6430499999997"/>
  </r>
  <r>
    <x v="17"/>
    <x v="0"/>
    <n v="27.83"/>
    <n v="3"/>
    <x v="1"/>
    <s v="southeast"/>
    <n v="14001.286700000001"/>
  </r>
  <r>
    <x v="0"/>
    <x v="0"/>
    <n v="17.8"/>
    <n v="0"/>
    <x v="1"/>
    <s v="southwest"/>
    <n v="1727.7850000000001"/>
  </r>
  <r>
    <x v="17"/>
    <x v="1"/>
    <n v="27.5"/>
    <n v="1"/>
    <x v="1"/>
    <s v="southwest"/>
    <n v="12333.828"/>
  </r>
  <r>
    <x v="46"/>
    <x v="1"/>
    <n v="24.51"/>
    <n v="2"/>
    <x v="1"/>
    <s v="northwest"/>
    <n v="6710.1918999999998"/>
  </r>
  <r>
    <x v="29"/>
    <x v="0"/>
    <n v="22.22"/>
    <n v="2"/>
    <x v="0"/>
    <s v="southeast"/>
    <n v="19444.265800000001"/>
  </r>
  <r>
    <x v="1"/>
    <x v="0"/>
    <n v="26.73"/>
    <n v="0"/>
    <x v="1"/>
    <s v="southeast"/>
    <n v="1615.7666999999999"/>
  </r>
  <r>
    <x v="5"/>
    <x v="1"/>
    <n v="38.39"/>
    <n v="2"/>
    <x v="1"/>
    <s v="southeast"/>
    <n v="4463.2051000000001"/>
  </r>
  <r>
    <x v="0"/>
    <x v="1"/>
    <n v="29.07"/>
    <n v="0"/>
    <x v="0"/>
    <s v="northwest"/>
    <n v="17352.6803"/>
  </r>
  <r>
    <x v="36"/>
    <x v="1"/>
    <n v="38.06"/>
    <n v="1"/>
    <x v="1"/>
    <s v="southeast"/>
    <n v="7152.6714000000002"/>
  </r>
  <r>
    <x v="11"/>
    <x v="0"/>
    <n v="36.67"/>
    <n v="2"/>
    <x v="0"/>
    <s v="northeast"/>
    <n v="38511.628299999997"/>
  </r>
  <r>
    <x v="3"/>
    <x v="0"/>
    <n v="22.135000000000002"/>
    <n v="1"/>
    <x v="1"/>
    <s v="northeast"/>
    <n v="5354.0746499999996"/>
  </r>
  <r>
    <x v="19"/>
    <x v="0"/>
    <n v="26.8"/>
    <n v="1"/>
    <x v="1"/>
    <s v="southwest"/>
    <n v="35160.134570000002"/>
  </r>
  <r>
    <x v="29"/>
    <x v="1"/>
    <n v="35.299999999999997"/>
    <n v="3"/>
    <x v="1"/>
    <s v="southwest"/>
    <n v="7196.8670000000002"/>
  </r>
  <r>
    <x v="18"/>
    <x v="0"/>
    <n v="27.74"/>
    <n v="0"/>
    <x v="0"/>
    <s v="northeast"/>
    <n v="29523.1656"/>
  </r>
  <r>
    <x v="40"/>
    <x v="1"/>
    <n v="30.02"/>
    <n v="0"/>
    <x v="1"/>
    <s v="northwest"/>
    <n v="24476.478510000001"/>
  </r>
  <r>
    <x v="8"/>
    <x v="0"/>
    <n v="38.06"/>
    <n v="0"/>
    <x v="1"/>
    <s v="southeast"/>
    <n v="12648.7034"/>
  </r>
  <r>
    <x v="23"/>
    <x v="1"/>
    <n v="35.86"/>
    <n v="0"/>
    <x v="1"/>
    <s v="southeast"/>
    <n v="1986.9333999999999"/>
  </r>
  <r>
    <x v="0"/>
    <x v="1"/>
    <n v="20.9"/>
    <n v="1"/>
    <x v="1"/>
    <s v="southwest"/>
    <n v="1832.0940000000001"/>
  </r>
  <r>
    <x v="38"/>
    <x v="1"/>
    <n v="28.975000000000001"/>
    <n v="1"/>
    <x v="1"/>
    <s v="northeast"/>
    <n v="4040.55825"/>
  </r>
  <r>
    <x v="1"/>
    <x v="1"/>
    <n v="17.29"/>
    <n v="2"/>
    <x v="0"/>
    <s v="northeast"/>
    <n v="12829.455099999999"/>
  </r>
  <r>
    <x v="18"/>
    <x v="0"/>
    <n v="32.200000000000003"/>
    <n v="2"/>
    <x v="0"/>
    <s v="southwest"/>
    <n v="47305.305"/>
  </r>
  <r>
    <x v="40"/>
    <x v="1"/>
    <n v="34.21"/>
    <n v="2"/>
    <x v="0"/>
    <s v="southeast"/>
    <n v="44260.749900000003"/>
  </r>
  <r>
    <x v="13"/>
    <x v="1"/>
    <n v="30.3"/>
    <n v="3"/>
    <x v="1"/>
    <s v="southwest"/>
    <n v="4260.7439999999997"/>
  </r>
  <r>
    <x v="45"/>
    <x v="1"/>
    <n v="31.824999999999999"/>
    <n v="0"/>
    <x v="0"/>
    <s v="northeast"/>
    <n v="41097.161749999999"/>
  </r>
  <r>
    <x v="19"/>
    <x v="0"/>
    <n v="25.364999999999998"/>
    <n v="3"/>
    <x v="1"/>
    <s v="northeast"/>
    <n v="13047.332350000001"/>
  </r>
  <r>
    <x v="12"/>
    <x v="1"/>
    <n v="33.630000000000003"/>
    <n v="0"/>
    <x v="0"/>
    <s v="northwest"/>
    <n v="43921.183700000001"/>
  </r>
  <r>
    <x v="25"/>
    <x v="0"/>
    <n v="40.15"/>
    <n v="0"/>
    <x v="1"/>
    <s v="southeast"/>
    <n v="5400.9804999999997"/>
  </r>
  <r>
    <x v="43"/>
    <x v="1"/>
    <n v="24.414999999999999"/>
    <n v="4"/>
    <x v="1"/>
    <s v="northwest"/>
    <n v="11520.099850000001"/>
  </r>
  <r>
    <x v="0"/>
    <x v="1"/>
    <n v="31.92"/>
    <n v="0"/>
    <x v="0"/>
    <s v="northwest"/>
    <n v="33750.291799999999"/>
  </r>
  <r>
    <x v="30"/>
    <x v="0"/>
    <n v="25.2"/>
    <n v="0"/>
    <x v="1"/>
    <s v="southwest"/>
    <n v="11837.16"/>
  </r>
  <r>
    <x v="34"/>
    <x v="0"/>
    <n v="26.84"/>
    <n v="1"/>
    <x v="0"/>
    <s v="southeast"/>
    <n v="17085.267599999999"/>
  </r>
  <r>
    <x v="14"/>
    <x v="1"/>
    <n v="24.32"/>
    <n v="3"/>
    <x v="0"/>
    <s v="northeast"/>
    <n v="24869.836800000001"/>
  </r>
  <r>
    <x v="0"/>
    <x v="1"/>
    <n v="36.954999999999998"/>
    <n v="0"/>
    <x v="0"/>
    <s v="northwest"/>
    <n v="36219.405449999998"/>
  </r>
  <r>
    <x v="31"/>
    <x v="0"/>
    <n v="38.06"/>
    <n v="3"/>
    <x v="1"/>
    <s v="southeast"/>
    <n v="20462.997660000001"/>
  </r>
  <r>
    <x v="6"/>
    <x v="1"/>
    <n v="42.35"/>
    <n v="3"/>
    <x v="0"/>
    <s v="southeast"/>
    <n v="46151.124499999998"/>
  </r>
  <r>
    <x v="29"/>
    <x v="1"/>
    <n v="19.8"/>
    <n v="1"/>
    <x v="0"/>
    <s v="southeast"/>
    <n v="17179.522000000001"/>
  </r>
  <r>
    <x v="17"/>
    <x v="0"/>
    <n v="32.395000000000003"/>
    <n v="3"/>
    <x v="1"/>
    <s v="northeast"/>
    <n v="14590.63205"/>
  </r>
  <r>
    <x v="39"/>
    <x v="1"/>
    <n v="30.2"/>
    <n v="1"/>
    <x v="1"/>
    <s v="southwest"/>
    <n v="7441.0529999999999"/>
  </r>
  <r>
    <x v="41"/>
    <x v="1"/>
    <n v="25.84"/>
    <n v="1"/>
    <x v="1"/>
    <s v="northeast"/>
    <n v="9282.4806000000008"/>
  </r>
  <r>
    <x v="1"/>
    <x v="1"/>
    <n v="29.37"/>
    <n v="1"/>
    <x v="1"/>
    <s v="southeast"/>
    <n v="1719.4363000000001"/>
  </r>
  <r>
    <x v="45"/>
    <x v="1"/>
    <n v="34.200000000000003"/>
    <n v="2"/>
    <x v="0"/>
    <s v="southwest"/>
    <n v="42856.838000000003"/>
  </r>
  <r>
    <x v="24"/>
    <x v="1"/>
    <n v="37.049999999999997"/>
    <n v="2"/>
    <x v="1"/>
    <s v="northwest"/>
    <n v="7265.7025000000003"/>
  </r>
  <r>
    <x v="45"/>
    <x v="1"/>
    <n v="27.454999999999998"/>
    <n v="1"/>
    <x v="1"/>
    <s v="northeast"/>
    <n v="9617.6624499999998"/>
  </r>
  <r>
    <x v="9"/>
    <x v="1"/>
    <n v="27.55"/>
    <n v="0"/>
    <x v="1"/>
    <s v="northwest"/>
    <n v="2523.1695"/>
  </r>
  <r>
    <x v="42"/>
    <x v="0"/>
    <n v="26.6"/>
    <n v="2"/>
    <x v="1"/>
    <s v="northeast"/>
    <n v="9715.8410000000003"/>
  </r>
  <r>
    <x v="0"/>
    <x v="1"/>
    <n v="20.614999999999998"/>
    <n v="2"/>
    <x v="1"/>
    <s v="northwest"/>
    <n v="2803.69785"/>
  </r>
  <r>
    <x v="20"/>
    <x v="0"/>
    <n v="24.3"/>
    <n v="0"/>
    <x v="1"/>
    <s v="southwest"/>
    <n v="2150.4690000000001"/>
  </r>
  <r>
    <x v="17"/>
    <x v="1"/>
    <n v="31.79"/>
    <n v="2"/>
    <x v="1"/>
    <s v="southeast"/>
    <n v="12928.7911"/>
  </r>
  <r>
    <x v="43"/>
    <x v="0"/>
    <n v="21.56"/>
    <n v="1"/>
    <x v="1"/>
    <s v="southeast"/>
    <n v="9855.1314000000002"/>
  </r>
  <r>
    <x v="29"/>
    <x v="0"/>
    <n v="28.12"/>
    <n v="1"/>
    <x v="0"/>
    <s v="northeast"/>
    <n v="22331.566800000001"/>
  </r>
  <r>
    <x v="40"/>
    <x v="1"/>
    <n v="40.564999999999998"/>
    <n v="3"/>
    <x v="0"/>
    <s v="northeast"/>
    <n v="48549.178350000002"/>
  </r>
  <r>
    <x v="15"/>
    <x v="1"/>
    <n v="27.645"/>
    <n v="1"/>
    <x v="1"/>
    <s v="northeast"/>
    <n v="4237.12655"/>
  </r>
  <r>
    <x v="19"/>
    <x v="0"/>
    <n v="32.395000000000003"/>
    <n v="1"/>
    <x v="1"/>
    <s v="northeast"/>
    <n v="11879.10405"/>
  </r>
  <r>
    <x v="14"/>
    <x v="0"/>
    <n v="31.2"/>
    <n v="0"/>
    <x v="1"/>
    <s v="southwest"/>
    <n v="9625.92"/>
  </r>
  <r>
    <x v="6"/>
    <x v="1"/>
    <n v="26.62"/>
    <n v="1"/>
    <x v="1"/>
    <s v="southeast"/>
    <n v="7742.1098000000002"/>
  </r>
  <r>
    <x v="6"/>
    <x v="0"/>
    <n v="48.07"/>
    <n v="2"/>
    <x v="1"/>
    <s v="northeast"/>
    <n v="9432.9253000000008"/>
  </r>
  <r>
    <x v="18"/>
    <x v="0"/>
    <n v="26.22"/>
    <n v="0"/>
    <x v="1"/>
    <s v="northwest"/>
    <n v="14256.192800000001"/>
  </r>
  <r>
    <x v="17"/>
    <x v="0"/>
    <n v="36.765000000000001"/>
    <n v="1"/>
    <x v="0"/>
    <s v="northeast"/>
    <n v="47896.79135"/>
  </r>
  <r>
    <x v="14"/>
    <x v="1"/>
    <n v="26.4"/>
    <n v="3"/>
    <x v="1"/>
    <s v="southeast"/>
    <n v="25992.821039999999"/>
  </r>
  <r>
    <x v="2"/>
    <x v="0"/>
    <n v="33.4"/>
    <n v="0"/>
    <x v="1"/>
    <s v="southwest"/>
    <n v="3172.018"/>
  </r>
  <r>
    <x v="38"/>
    <x v="1"/>
    <n v="29.64"/>
    <n v="1"/>
    <x v="1"/>
    <s v="northeast"/>
    <n v="20277.807509999999"/>
  </r>
  <r>
    <x v="9"/>
    <x v="1"/>
    <n v="45.54"/>
    <n v="2"/>
    <x v="0"/>
    <s v="southeast"/>
    <n v="42112.2356"/>
  </r>
  <r>
    <x v="20"/>
    <x v="0"/>
    <n v="28.82"/>
    <n v="0"/>
    <x v="1"/>
    <s v="southeast"/>
    <n v="2156.7518"/>
  </r>
  <r>
    <x v="9"/>
    <x v="1"/>
    <n v="26.8"/>
    <n v="3"/>
    <x v="1"/>
    <s v="southwest"/>
    <n v="3906.127"/>
  </r>
  <r>
    <x v="1"/>
    <x v="1"/>
    <n v="22.99"/>
    <n v="0"/>
    <x v="1"/>
    <s v="northeast"/>
    <n v="1704.5681"/>
  </r>
  <r>
    <x v="0"/>
    <x v="1"/>
    <n v="27.7"/>
    <n v="0"/>
    <x v="0"/>
    <s v="southwest"/>
    <n v="16297.846"/>
  </r>
  <r>
    <x v="42"/>
    <x v="1"/>
    <n v="25.41"/>
    <n v="1"/>
    <x v="0"/>
    <s v="southeast"/>
    <n v="21978.676899999999"/>
  </r>
  <r>
    <x v="5"/>
    <x v="1"/>
    <n v="34.39"/>
    <n v="3"/>
    <x v="0"/>
    <s v="northwest"/>
    <n v="38746.355100000001"/>
  </r>
  <r>
    <x v="28"/>
    <x v="0"/>
    <n v="28.88"/>
    <n v="1"/>
    <x v="1"/>
    <s v="northwest"/>
    <n v="9249.4951999999994"/>
  </r>
  <r>
    <x v="26"/>
    <x v="1"/>
    <n v="27.55"/>
    <n v="3"/>
    <x v="1"/>
    <s v="northeast"/>
    <n v="6746.7425000000003"/>
  </r>
  <r>
    <x v="31"/>
    <x v="0"/>
    <n v="22.61"/>
    <n v="3"/>
    <x v="0"/>
    <s v="northeast"/>
    <n v="24873.384900000001"/>
  </r>
  <r>
    <x v="12"/>
    <x v="0"/>
    <n v="37.51"/>
    <n v="2"/>
    <x v="1"/>
    <s v="southeast"/>
    <n v="12265.5069"/>
  </r>
  <r>
    <x v="2"/>
    <x v="0"/>
    <n v="33"/>
    <n v="2"/>
    <x v="1"/>
    <s v="southeast"/>
    <n v="4349.4620000000004"/>
  </r>
  <r>
    <x v="37"/>
    <x v="0"/>
    <n v="38"/>
    <n v="2"/>
    <x v="1"/>
    <s v="southwest"/>
    <n v="12646.207"/>
  </r>
  <r>
    <x v="38"/>
    <x v="1"/>
    <n v="33.344999999999999"/>
    <n v="2"/>
    <x v="1"/>
    <s v="northwest"/>
    <n v="19442.353500000001"/>
  </r>
  <r>
    <x v="2"/>
    <x v="0"/>
    <n v="27.5"/>
    <n v="2"/>
    <x v="1"/>
    <s v="southwest"/>
    <n v="20177.671129999999"/>
  </r>
  <r>
    <x v="15"/>
    <x v="0"/>
    <n v="33.33"/>
    <n v="1"/>
    <x v="1"/>
    <s v="southeast"/>
    <n v="4151.0286999999998"/>
  </r>
  <r>
    <x v="30"/>
    <x v="1"/>
    <n v="34.865000000000002"/>
    <n v="0"/>
    <x v="1"/>
    <s v="northeast"/>
    <n v="11944.594349999999"/>
  </r>
  <r>
    <x v="24"/>
    <x v="0"/>
    <n v="33.06"/>
    <n v="2"/>
    <x v="1"/>
    <s v="northwest"/>
    <n v="7749.1563999999998"/>
  </r>
  <r>
    <x v="45"/>
    <x v="1"/>
    <n v="26.6"/>
    <n v="0"/>
    <x v="1"/>
    <s v="southwest"/>
    <n v="8444.4740000000002"/>
  </r>
  <r>
    <x v="0"/>
    <x v="0"/>
    <n v="24.7"/>
    <n v="0"/>
    <x v="1"/>
    <s v="southwest"/>
    <n v="1737.376"/>
  </r>
  <r>
    <x v="32"/>
    <x v="1"/>
    <n v="35.97"/>
    <n v="3"/>
    <x v="0"/>
    <s v="southeast"/>
    <n v="42124.515299999999"/>
  </r>
  <r>
    <x v="41"/>
    <x v="1"/>
    <n v="35.86"/>
    <n v="0"/>
    <x v="1"/>
    <s v="southeast"/>
    <n v="8124.4084000000003"/>
  </r>
  <r>
    <x v="13"/>
    <x v="0"/>
    <n v="31.4"/>
    <n v="0"/>
    <x v="0"/>
    <s v="southwest"/>
    <n v="34838.873"/>
  </r>
  <r>
    <x v="14"/>
    <x v="1"/>
    <n v="33.25"/>
    <n v="0"/>
    <x v="1"/>
    <s v="northeast"/>
    <n v="9722.7695000000003"/>
  </r>
  <r>
    <x v="45"/>
    <x v="1"/>
    <n v="32.204999999999998"/>
    <n v="0"/>
    <x v="1"/>
    <s v="northwest"/>
    <n v="8835.2649500000007"/>
  </r>
  <r>
    <x v="40"/>
    <x v="1"/>
    <n v="32.774999999999999"/>
    <n v="0"/>
    <x v="1"/>
    <s v="northeast"/>
    <n v="10435.06525"/>
  </r>
  <r>
    <x v="36"/>
    <x v="0"/>
    <n v="27.645"/>
    <n v="0"/>
    <x v="1"/>
    <s v="northwest"/>
    <n v="7421.1945500000002"/>
  </r>
  <r>
    <x v="4"/>
    <x v="1"/>
    <n v="37.335000000000001"/>
    <n v="1"/>
    <x v="1"/>
    <s v="northeast"/>
    <n v="4667.6076499999999"/>
  </r>
  <r>
    <x v="16"/>
    <x v="1"/>
    <n v="25.27"/>
    <n v="1"/>
    <x v="1"/>
    <s v="northwest"/>
    <n v="4894.7533000000003"/>
  </r>
  <r>
    <x v="21"/>
    <x v="0"/>
    <n v="29.64"/>
    <n v="4"/>
    <x v="1"/>
    <s v="northeast"/>
    <n v="24671.663339999999"/>
  </r>
  <r>
    <x v="16"/>
    <x v="1"/>
    <n v="30.8"/>
    <n v="0"/>
    <x v="0"/>
    <s v="southwest"/>
    <n v="35491.64"/>
  </r>
  <r>
    <x v="37"/>
    <x v="1"/>
    <n v="40.945"/>
    <n v="0"/>
    <x v="1"/>
    <s v="northeast"/>
    <n v="11566.30055"/>
  </r>
  <r>
    <x v="38"/>
    <x v="1"/>
    <n v="27.2"/>
    <n v="0"/>
    <x v="1"/>
    <s v="southwest"/>
    <n v="2866.0909999999999"/>
  </r>
  <r>
    <x v="29"/>
    <x v="1"/>
    <n v="34.104999999999997"/>
    <n v="1"/>
    <x v="1"/>
    <s v="northeast"/>
    <n v="6600.2059499999996"/>
  </r>
  <r>
    <x v="13"/>
    <x v="0"/>
    <n v="23.21"/>
    <n v="1"/>
    <x v="1"/>
    <s v="southeast"/>
    <n v="3561.8888999999999"/>
  </r>
  <r>
    <x v="39"/>
    <x v="1"/>
    <n v="36.479999999999997"/>
    <n v="2"/>
    <x v="0"/>
    <s v="northwest"/>
    <n v="42760.502200000003"/>
  </r>
  <r>
    <x v="33"/>
    <x v="0"/>
    <n v="33.799999999999997"/>
    <n v="1"/>
    <x v="0"/>
    <s v="southwest"/>
    <n v="47928.03"/>
  </r>
  <r>
    <x v="14"/>
    <x v="1"/>
    <n v="36.700000000000003"/>
    <n v="0"/>
    <x v="1"/>
    <s v="southwest"/>
    <n v="9144.5650000000005"/>
  </r>
  <r>
    <x v="35"/>
    <x v="0"/>
    <n v="36.384999999999998"/>
    <n v="1"/>
    <x v="0"/>
    <s v="northeast"/>
    <n v="48517.563150000002"/>
  </r>
  <r>
    <x v="14"/>
    <x v="1"/>
    <n v="27.36"/>
    <n v="0"/>
    <x v="0"/>
    <s v="northwest"/>
    <n v="24393.6224"/>
  </r>
  <r>
    <x v="35"/>
    <x v="0"/>
    <n v="31.16"/>
    <n v="0"/>
    <x v="1"/>
    <s v="northwest"/>
    <n v="13429.035400000001"/>
  </r>
  <r>
    <x v="12"/>
    <x v="0"/>
    <n v="28.785"/>
    <n v="0"/>
    <x v="1"/>
    <s v="northeast"/>
    <n v="11658.379150000001"/>
  </r>
  <r>
    <x v="32"/>
    <x v="0"/>
    <n v="35.72"/>
    <n v="2"/>
    <x v="1"/>
    <s v="northeast"/>
    <n v="19144.576519999999"/>
  </r>
  <r>
    <x v="33"/>
    <x v="1"/>
    <n v="34.5"/>
    <n v="0"/>
    <x v="1"/>
    <s v="southwest"/>
    <n v="13822.803"/>
  </r>
  <r>
    <x v="8"/>
    <x v="1"/>
    <n v="25.74"/>
    <n v="0"/>
    <x v="1"/>
    <s v="southeast"/>
    <n v="12142.578600000001"/>
  </r>
  <r>
    <x v="10"/>
    <x v="1"/>
    <n v="27.55"/>
    <n v="1"/>
    <x v="1"/>
    <s v="northwest"/>
    <n v="13937.666499999999"/>
  </r>
  <r>
    <x v="45"/>
    <x v="1"/>
    <n v="32.299999999999997"/>
    <n v="1"/>
    <x v="0"/>
    <s v="northeast"/>
    <n v="41919.097000000002"/>
  </r>
  <r>
    <x v="6"/>
    <x v="0"/>
    <n v="27.72"/>
    <n v="1"/>
    <x v="1"/>
    <s v="southeast"/>
    <n v="8232.6388000000006"/>
  </r>
  <r>
    <x v="23"/>
    <x v="0"/>
    <n v="27.6"/>
    <n v="0"/>
    <x v="1"/>
    <s v="southwest"/>
    <n v="18955.220170000001"/>
  </r>
  <r>
    <x v="10"/>
    <x v="1"/>
    <n v="30.02"/>
    <n v="0"/>
    <x v="1"/>
    <s v="northwest"/>
    <n v="13352.0998"/>
  </r>
  <r>
    <x v="8"/>
    <x v="0"/>
    <n v="27.55"/>
    <n v="0"/>
    <x v="1"/>
    <s v="northeast"/>
    <n v="13217.094499999999"/>
  </r>
  <r>
    <x v="18"/>
    <x v="1"/>
    <n v="36.765000000000001"/>
    <n v="0"/>
    <x v="1"/>
    <s v="northeast"/>
    <n v="13981.850350000001"/>
  </r>
  <r>
    <x v="41"/>
    <x v="0"/>
    <n v="41.47"/>
    <n v="4"/>
    <x v="1"/>
    <s v="southeast"/>
    <n v="10977.2063"/>
  </r>
  <r>
    <x v="16"/>
    <x v="0"/>
    <n v="29.26"/>
    <n v="3"/>
    <x v="1"/>
    <s v="southeast"/>
    <n v="6184.2993999999999"/>
  </r>
  <r>
    <x v="3"/>
    <x v="1"/>
    <n v="35.75"/>
    <n v="2"/>
    <x v="1"/>
    <s v="southeast"/>
    <n v="4889.9994999999999"/>
  </r>
  <r>
    <x v="6"/>
    <x v="1"/>
    <n v="33.344999999999999"/>
    <n v="1"/>
    <x v="1"/>
    <s v="northeast"/>
    <n v="8334.4575499999992"/>
  </r>
  <r>
    <x v="26"/>
    <x v="0"/>
    <n v="29.92"/>
    <n v="1"/>
    <x v="1"/>
    <s v="southeast"/>
    <n v="5478.0367999999999"/>
  </r>
  <r>
    <x v="0"/>
    <x v="1"/>
    <n v="27.835000000000001"/>
    <n v="0"/>
    <x v="1"/>
    <s v="northwest"/>
    <n v="1635.7336499999999"/>
  </r>
  <r>
    <x v="37"/>
    <x v="0"/>
    <n v="23.18"/>
    <n v="0"/>
    <x v="1"/>
    <s v="northwest"/>
    <n v="11830.6072"/>
  </r>
  <r>
    <x v="45"/>
    <x v="0"/>
    <n v="25.6"/>
    <n v="0"/>
    <x v="1"/>
    <s v="southwest"/>
    <n v="8932.0840000000007"/>
  </r>
  <r>
    <x v="15"/>
    <x v="0"/>
    <n v="27.7"/>
    <n v="0"/>
    <x v="1"/>
    <s v="southwest"/>
    <n v="3554.203"/>
  </r>
  <r>
    <x v="3"/>
    <x v="1"/>
    <n v="35.244999999999997"/>
    <n v="0"/>
    <x v="1"/>
    <s v="northeast"/>
    <n v="12404.8791"/>
  </r>
  <r>
    <x v="1"/>
    <x v="0"/>
    <n v="38.28"/>
    <n v="0"/>
    <x v="1"/>
    <s v="southeast"/>
    <n v="14133.03775"/>
  </r>
  <r>
    <x v="6"/>
    <x v="1"/>
    <n v="27.6"/>
    <n v="0"/>
    <x v="1"/>
    <s v="southwest"/>
    <n v="24603.04837"/>
  </r>
  <r>
    <x v="6"/>
    <x v="1"/>
    <n v="43.89"/>
    <n v="3"/>
    <x v="1"/>
    <s v="southeast"/>
    <n v="8944.1151000000009"/>
  </r>
  <r>
    <x v="42"/>
    <x v="1"/>
    <n v="29.83"/>
    <n v="3"/>
    <x v="1"/>
    <s v="northwest"/>
    <n v="9620.3307000000004"/>
  </r>
  <r>
    <x v="11"/>
    <x v="1"/>
    <n v="41.91"/>
    <n v="0"/>
    <x v="1"/>
    <s v="southeast"/>
    <n v="1837.2819"/>
  </r>
  <r>
    <x v="1"/>
    <x v="0"/>
    <n v="20.79"/>
    <n v="0"/>
    <x v="1"/>
    <s v="southeast"/>
    <n v="1607.5101"/>
  </r>
  <r>
    <x v="28"/>
    <x v="0"/>
    <n v="32.299999999999997"/>
    <n v="2"/>
    <x v="1"/>
    <s v="northeast"/>
    <n v="10043.249"/>
  </r>
  <r>
    <x v="22"/>
    <x v="1"/>
    <n v="30.5"/>
    <n v="1"/>
    <x v="1"/>
    <s v="southwest"/>
    <n v="4751.07"/>
  </r>
  <r>
    <x v="0"/>
    <x v="0"/>
    <n v="21.7"/>
    <n v="0"/>
    <x v="0"/>
    <s v="southwest"/>
    <n v="13844.505999999999"/>
  </r>
  <r>
    <x v="27"/>
    <x v="0"/>
    <n v="26.4"/>
    <n v="1"/>
    <x v="1"/>
    <s v="southwest"/>
    <n v="2597.779"/>
  </r>
  <r>
    <x v="27"/>
    <x v="0"/>
    <n v="21.89"/>
    <n v="2"/>
    <x v="1"/>
    <s v="southeast"/>
    <n v="3180.5101"/>
  </r>
  <r>
    <x v="41"/>
    <x v="0"/>
    <n v="30.78"/>
    <n v="1"/>
    <x v="1"/>
    <s v="northeast"/>
    <n v="9778.3472000000002"/>
  </r>
  <r>
    <x v="12"/>
    <x v="0"/>
    <n v="32.299999999999997"/>
    <n v="3"/>
    <x v="1"/>
    <s v="northeast"/>
    <n v="13430.264999999999"/>
  </r>
  <r>
    <x v="44"/>
    <x v="0"/>
    <n v="24.984999999999999"/>
    <n v="2"/>
    <x v="1"/>
    <s v="northwest"/>
    <n v="8017.0611500000005"/>
  </r>
  <r>
    <x v="36"/>
    <x v="1"/>
    <n v="32.015000000000001"/>
    <n v="2"/>
    <x v="1"/>
    <s v="northwest"/>
    <n v="8116.2688500000004"/>
  </r>
  <r>
    <x v="1"/>
    <x v="1"/>
    <n v="30.4"/>
    <n v="3"/>
    <x v="1"/>
    <s v="northeast"/>
    <n v="3481.8679999999999"/>
  </r>
  <r>
    <x v="35"/>
    <x v="0"/>
    <n v="21.09"/>
    <n v="0"/>
    <x v="1"/>
    <s v="northwest"/>
    <n v="13415.0381"/>
  </r>
  <r>
    <x v="37"/>
    <x v="0"/>
    <n v="22.23"/>
    <n v="0"/>
    <x v="1"/>
    <s v="northeast"/>
    <n v="12029.286700000001"/>
  </r>
  <r>
    <x v="44"/>
    <x v="0"/>
    <n v="33.155000000000001"/>
    <n v="1"/>
    <x v="1"/>
    <s v="northeast"/>
    <n v="7639.4174499999999"/>
  </r>
  <r>
    <x v="21"/>
    <x v="1"/>
    <n v="32.9"/>
    <n v="2"/>
    <x v="0"/>
    <s v="southwest"/>
    <n v="36085.218999999997"/>
  </r>
  <r>
    <x v="34"/>
    <x v="1"/>
    <n v="33.33"/>
    <n v="0"/>
    <x v="1"/>
    <s v="southeast"/>
    <n v="1391.5287000000001"/>
  </r>
  <r>
    <x v="11"/>
    <x v="0"/>
    <n v="28.31"/>
    <n v="0"/>
    <x v="0"/>
    <s v="northwest"/>
    <n v="18033.9679"/>
  </r>
  <r>
    <x v="46"/>
    <x v="0"/>
    <n v="24.89"/>
    <n v="3"/>
    <x v="0"/>
    <s v="northeast"/>
    <n v="21659.930100000001"/>
  </r>
  <r>
    <x v="23"/>
    <x v="1"/>
    <n v="40.15"/>
    <n v="0"/>
    <x v="0"/>
    <s v="southeast"/>
    <n v="38126.246500000001"/>
  </r>
  <r>
    <x v="33"/>
    <x v="0"/>
    <n v="30.114999999999998"/>
    <n v="3"/>
    <x v="1"/>
    <s v="northwest"/>
    <n v="16455.707849999999"/>
  </r>
  <r>
    <x v="10"/>
    <x v="1"/>
    <n v="31.46"/>
    <n v="1"/>
    <x v="1"/>
    <s v="southeast"/>
    <n v="27000.98473"/>
  </r>
  <r>
    <x v="13"/>
    <x v="0"/>
    <n v="17.954999999999998"/>
    <n v="2"/>
    <x v="0"/>
    <s v="northeast"/>
    <n v="15006.579449999999"/>
  </r>
  <r>
    <x v="19"/>
    <x v="1"/>
    <n v="30.684999999999999"/>
    <n v="0"/>
    <x v="0"/>
    <s v="northeast"/>
    <n v="42303.692150000003"/>
  </r>
  <r>
    <x v="19"/>
    <x v="1"/>
    <n v="33"/>
    <n v="0"/>
    <x v="1"/>
    <s v="southeast"/>
    <n v="20781.48892"/>
  </r>
  <r>
    <x v="22"/>
    <x v="0"/>
    <n v="43.34"/>
    <n v="2"/>
    <x v="1"/>
    <s v="southeast"/>
    <n v="5846.9175999999998"/>
  </r>
  <r>
    <x v="36"/>
    <x v="1"/>
    <n v="22.135000000000002"/>
    <n v="2"/>
    <x v="1"/>
    <s v="northeast"/>
    <n v="8302.5356499999998"/>
  </r>
  <r>
    <x v="0"/>
    <x v="1"/>
    <n v="34.4"/>
    <n v="0"/>
    <x v="1"/>
    <s v="southwest"/>
    <n v="1261.8589999999999"/>
  </r>
  <r>
    <x v="30"/>
    <x v="0"/>
    <n v="39.049999999999997"/>
    <n v="0"/>
    <x v="1"/>
    <s v="southeast"/>
    <n v="11856.4115"/>
  </r>
  <r>
    <x v="45"/>
    <x v="1"/>
    <n v="25.364999999999998"/>
    <n v="2"/>
    <x v="1"/>
    <s v="northwest"/>
    <n v="30284.642940000002"/>
  </r>
  <r>
    <x v="21"/>
    <x v="0"/>
    <n v="22.61"/>
    <n v="0"/>
    <x v="1"/>
    <s v="northwest"/>
    <n v="3176.8159000000001"/>
  </r>
  <r>
    <x v="23"/>
    <x v="0"/>
    <n v="30.21"/>
    <n v="3"/>
    <x v="1"/>
    <s v="northwest"/>
    <n v="4618.0798999999997"/>
  </r>
  <r>
    <x v="28"/>
    <x v="1"/>
    <n v="35.625"/>
    <n v="4"/>
    <x v="1"/>
    <s v="northeast"/>
    <n v="10736.87075"/>
  </r>
  <r>
    <x v="0"/>
    <x v="0"/>
    <n v="37.43"/>
    <n v="0"/>
    <x v="1"/>
    <s v="northwest"/>
    <n v="2138.0707000000002"/>
  </r>
  <r>
    <x v="28"/>
    <x v="1"/>
    <n v="31.445"/>
    <n v="1"/>
    <x v="1"/>
    <s v="northeast"/>
    <n v="8964.0605500000001"/>
  </r>
  <r>
    <x v="41"/>
    <x v="1"/>
    <n v="31.35"/>
    <n v="1"/>
    <x v="1"/>
    <s v="northeast"/>
    <n v="9290.1394999999993"/>
  </r>
  <r>
    <x v="6"/>
    <x v="0"/>
    <n v="32.299999999999997"/>
    <n v="2"/>
    <x v="1"/>
    <s v="northeast"/>
    <n v="9411.0049999999992"/>
  </r>
  <r>
    <x v="6"/>
    <x v="1"/>
    <n v="19.855"/>
    <n v="0"/>
    <x v="1"/>
    <s v="northwest"/>
    <n v="7526.7064499999997"/>
  </r>
  <r>
    <x v="32"/>
    <x v="0"/>
    <n v="34.4"/>
    <n v="3"/>
    <x v="1"/>
    <s v="southwest"/>
    <n v="8522.0030000000006"/>
  </r>
  <r>
    <x v="27"/>
    <x v="1"/>
    <n v="31.02"/>
    <n v="0"/>
    <x v="1"/>
    <s v="southeast"/>
    <n v="16586.49771"/>
  </r>
  <r>
    <x v="33"/>
    <x v="1"/>
    <n v="25.6"/>
    <n v="2"/>
    <x v="1"/>
    <s v="southwest"/>
    <n v="14988.432000000001"/>
  </r>
  <r>
    <x v="1"/>
    <x v="0"/>
    <n v="38.17"/>
    <n v="0"/>
    <x v="1"/>
    <s v="southeast"/>
    <n v="1631.6683"/>
  </r>
  <r>
    <x v="43"/>
    <x v="0"/>
    <n v="20.6"/>
    <n v="0"/>
    <x v="1"/>
    <s v="southwest"/>
    <n v="9264.7970000000005"/>
  </r>
  <r>
    <x v="42"/>
    <x v="1"/>
    <n v="47.52"/>
    <n v="1"/>
    <x v="1"/>
    <s v="southeast"/>
    <n v="8083.9197999999997"/>
  </r>
  <r>
    <x v="33"/>
    <x v="0"/>
    <n v="32.965000000000003"/>
    <n v="0"/>
    <x v="1"/>
    <s v="northwest"/>
    <n v="14692.66935"/>
  </r>
  <r>
    <x v="41"/>
    <x v="1"/>
    <n v="32.299999999999997"/>
    <n v="3"/>
    <x v="1"/>
    <s v="northwest"/>
    <n v="10269.459999999999"/>
  </r>
  <r>
    <x v="5"/>
    <x v="1"/>
    <n v="20.399999999999999"/>
    <n v="0"/>
    <x v="1"/>
    <s v="southwest"/>
    <n v="3260.1990000000001"/>
  </r>
  <r>
    <x v="14"/>
    <x v="0"/>
    <n v="38.380000000000003"/>
    <n v="2"/>
    <x v="1"/>
    <s v="northeast"/>
    <n v="11396.9002"/>
  </r>
  <r>
    <x v="3"/>
    <x v="0"/>
    <n v="24.31"/>
    <n v="0"/>
    <x v="1"/>
    <s v="southeast"/>
    <n v="4185.0978999999998"/>
  </r>
  <r>
    <x v="42"/>
    <x v="0"/>
    <n v="23.6"/>
    <n v="1"/>
    <x v="1"/>
    <s v="southwest"/>
    <n v="8539.6710000000003"/>
  </r>
  <r>
    <x v="25"/>
    <x v="1"/>
    <n v="21.12"/>
    <n v="3"/>
    <x v="1"/>
    <s v="southeast"/>
    <n v="6652.5288"/>
  </r>
  <r>
    <x v="4"/>
    <x v="1"/>
    <n v="30.03"/>
    <n v="1"/>
    <x v="1"/>
    <s v="southeast"/>
    <n v="4074.4537"/>
  </r>
  <r>
    <x v="0"/>
    <x v="1"/>
    <n v="17.48"/>
    <n v="0"/>
    <x v="1"/>
    <s v="northwest"/>
    <n v="1621.3402000000001"/>
  </r>
  <r>
    <x v="36"/>
    <x v="0"/>
    <n v="20.234999999999999"/>
    <n v="1"/>
    <x v="0"/>
    <s v="northeast"/>
    <n v="19594.809649999999"/>
  </r>
  <r>
    <x v="21"/>
    <x v="0"/>
    <n v="17.195"/>
    <n v="2"/>
    <x v="0"/>
    <s v="northeast"/>
    <n v="14455.644050000001"/>
  </r>
  <r>
    <x v="9"/>
    <x v="1"/>
    <n v="23.9"/>
    <n v="5"/>
    <x v="1"/>
    <s v="southwest"/>
    <n v="5080.0959999999995"/>
  </r>
  <r>
    <x v="0"/>
    <x v="0"/>
    <n v="35.15"/>
    <n v="0"/>
    <x v="1"/>
    <s v="northwest"/>
    <n v="2134.9014999999999"/>
  </r>
  <r>
    <x v="32"/>
    <x v="0"/>
    <n v="35.64"/>
    <n v="1"/>
    <x v="1"/>
    <s v="southeast"/>
    <n v="7345.7266"/>
  </r>
  <r>
    <x v="14"/>
    <x v="1"/>
    <n v="34.1"/>
    <n v="0"/>
    <x v="1"/>
    <s v="southeast"/>
    <n v="9140.9509999999991"/>
  </r>
  <r>
    <x v="26"/>
    <x v="0"/>
    <n v="22.6"/>
    <n v="2"/>
    <x v="0"/>
    <s v="southwest"/>
    <n v="18608.261999999999"/>
  </r>
  <r>
    <x v="33"/>
    <x v="1"/>
    <n v="39.159999999999997"/>
    <n v="1"/>
    <x v="1"/>
    <s v="southeast"/>
    <n v="14418.2804"/>
  </r>
  <r>
    <x v="18"/>
    <x v="0"/>
    <n v="26.98"/>
    <n v="0"/>
    <x v="0"/>
    <s v="northwest"/>
    <n v="28950.4692"/>
  </r>
  <r>
    <x v="33"/>
    <x v="1"/>
    <n v="33.880000000000003"/>
    <n v="0"/>
    <x v="0"/>
    <s v="southeast"/>
    <n v="46889.261200000001"/>
  </r>
  <r>
    <x v="35"/>
    <x v="1"/>
    <n v="35.86"/>
    <n v="0"/>
    <x v="0"/>
    <s v="southeast"/>
    <n v="46599.108399999997"/>
  </r>
  <r>
    <x v="29"/>
    <x v="1"/>
    <n v="32.774999999999999"/>
    <n v="1"/>
    <x v="0"/>
    <s v="northeast"/>
    <n v="39125.332249999999"/>
  </r>
  <r>
    <x v="9"/>
    <x v="1"/>
    <n v="30.59"/>
    <n v="0"/>
    <x v="1"/>
    <s v="northeast"/>
    <n v="2727.3951000000002"/>
  </r>
  <r>
    <x v="28"/>
    <x v="1"/>
    <n v="30.2"/>
    <n v="2"/>
    <x v="1"/>
    <s v="southwest"/>
    <n v="8968.33"/>
  </r>
  <r>
    <x v="39"/>
    <x v="1"/>
    <n v="24.31"/>
    <n v="5"/>
    <x v="1"/>
    <s v="southeast"/>
    <n v="9788.8659000000007"/>
  </r>
  <r>
    <x v="25"/>
    <x v="0"/>
    <n v="27.265000000000001"/>
    <n v="1"/>
    <x v="1"/>
    <s v="northeast"/>
    <n v="6555.07035"/>
  </r>
  <r>
    <x v="1"/>
    <x v="0"/>
    <n v="29.164999999999999"/>
    <n v="0"/>
    <x v="1"/>
    <s v="northeast"/>
    <n v="7323.7348190000002"/>
  </r>
  <r>
    <x v="27"/>
    <x v="0"/>
    <n v="16.815000000000001"/>
    <n v="1"/>
    <x v="1"/>
    <s v="northeast"/>
    <n v="3167.4558499999998"/>
  </r>
  <r>
    <x v="13"/>
    <x v="0"/>
    <n v="30.4"/>
    <n v="3"/>
    <x v="1"/>
    <s v="northwest"/>
    <n v="18804.752400000001"/>
  </r>
  <r>
    <x v="0"/>
    <x v="1"/>
    <n v="33.1"/>
    <n v="0"/>
    <x v="1"/>
    <s v="southwest"/>
    <n v="23082.955330000001"/>
  </r>
  <r>
    <x v="38"/>
    <x v="0"/>
    <n v="20.234999999999999"/>
    <n v="2"/>
    <x v="1"/>
    <s v="northwest"/>
    <n v="4906.4096499999996"/>
  </r>
  <r>
    <x v="44"/>
    <x v="1"/>
    <n v="26.9"/>
    <n v="0"/>
    <x v="1"/>
    <s v="southwest"/>
    <n v="5969.723"/>
  </r>
  <r>
    <x v="8"/>
    <x v="0"/>
    <n v="30.5"/>
    <n v="0"/>
    <x v="1"/>
    <s v="southwest"/>
    <n v="12638.195"/>
  </r>
  <r>
    <x v="5"/>
    <x v="1"/>
    <n v="28.594999999999999"/>
    <n v="1"/>
    <x v="1"/>
    <s v="northwest"/>
    <n v="4243.5900499999998"/>
  </r>
  <r>
    <x v="8"/>
    <x v="1"/>
    <n v="33.11"/>
    <n v="3"/>
    <x v="1"/>
    <s v="southeast"/>
    <n v="13919.822899999999"/>
  </r>
  <r>
    <x v="20"/>
    <x v="1"/>
    <n v="31.73"/>
    <n v="0"/>
    <x v="1"/>
    <s v="northeast"/>
    <n v="2254.7966999999999"/>
  </r>
  <r>
    <x v="22"/>
    <x v="1"/>
    <n v="28.9"/>
    <n v="3"/>
    <x v="1"/>
    <s v="southwest"/>
    <n v="5926.8459999999995"/>
  </r>
  <r>
    <x v="14"/>
    <x v="0"/>
    <n v="46.75"/>
    <n v="5"/>
    <x v="1"/>
    <s v="southeast"/>
    <n v="12592.5345"/>
  </r>
  <r>
    <x v="21"/>
    <x v="1"/>
    <n v="29.45"/>
    <n v="0"/>
    <x v="1"/>
    <s v="northeast"/>
    <n v="2897.3235"/>
  </r>
  <r>
    <x v="5"/>
    <x v="0"/>
    <n v="32.68"/>
    <n v="1"/>
    <x v="1"/>
    <s v="northwest"/>
    <n v="4738.2682000000004"/>
  </r>
  <r>
    <x v="3"/>
    <x v="0"/>
    <n v="33.5"/>
    <n v="0"/>
    <x v="0"/>
    <s v="southwest"/>
    <n v="37079.372000000003"/>
  </r>
  <r>
    <x v="1"/>
    <x v="1"/>
    <n v="43.01"/>
    <n v="0"/>
    <x v="1"/>
    <s v="southeast"/>
    <n v="1149.3959"/>
  </r>
  <r>
    <x v="17"/>
    <x v="0"/>
    <n v="36.520000000000003"/>
    <n v="1"/>
    <x v="1"/>
    <s v="southeast"/>
    <n v="28287.897659999999"/>
  </r>
  <r>
    <x v="12"/>
    <x v="1"/>
    <n v="26.695"/>
    <n v="1"/>
    <x v="0"/>
    <s v="northwest"/>
    <n v="26109.32905"/>
  </r>
  <r>
    <x v="39"/>
    <x v="0"/>
    <n v="33.1"/>
    <n v="0"/>
    <x v="1"/>
    <s v="southwest"/>
    <n v="7345.0839999999998"/>
  </r>
  <r>
    <x v="8"/>
    <x v="1"/>
    <n v="29.64"/>
    <n v="0"/>
    <x v="1"/>
    <s v="northeast"/>
    <n v="12730.999599999999"/>
  </r>
  <r>
    <x v="12"/>
    <x v="0"/>
    <n v="25.65"/>
    <n v="0"/>
    <x v="1"/>
    <s v="northwest"/>
    <n v="11454.021500000001"/>
  </r>
  <r>
    <x v="29"/>
    <x v="0"/>
    <n v="29.6"/>
    <n v="0"/>
    <x v="1"/>
    <s v="southwest"/>
    <n v="5910.9440000000004"/>
  </r>
  <r>
    <x v="22"/>
    <x v="1"/>
    <n v="38.6"/>
    <n v="1"/>
    <x v="1"/>
    <s v="southwest"/>
    <n v="4762.3289999999997"/>
  </r>
  <r>
    <x v="46"/>
    <x v="1"/>
    <n v="29.6"/>
    <n v="4"/>
    <x v="1"/>
    <s v="southwest"/>
    <n v="7512.2669999999998"/>
  </r>
  <r>
    <x v="15"/>
    <x v="1"/>
    <n v="24.13"/>
    <n v="1"/>
    <x v="1"/>
    <s v="northwest"/>
    <n v="4032.2406999999998"/>
  </r>
  <r>
    <x v="23"/>
    <x v="1"/>
    <n v="23.4"/>
    <n v="0"/>
    <x v="1"/>
    <s v="southwest"/>
    <n v="1969.614"/>
  </r>
  <r>
    <x v="34"/>
    <x v="1"/>
    <n v="29.734999999999999"/>
    <n v="0"/>
    <x v="1"/>
    <s v="northwest"/>
    <n v="1769.5316499999999"/>
  </r>
  <r>
    <x v="4"/>
    <x v="1"/>
    <n v="46.53"/>
    <n v="2"/>
    <x v="1"/>
    <s v="southeast"/>
    <n v="4686.3887000000004"/>
  </r>
  <r>
    <x v="17"/>
    <x v="1"/>
    <n v="37.4"/>
    <n v="0"/>
    <x v="1"/>
    <s v="southwest"/>
    <n v="21797.000400000001"/>
  </r>
  <r>
    <x v="19"/>
    <x v="0"/>
    <n v="30.14"/>
    <n v="2"/>
    <x v="1"/>
    <s v="southeast"/>
    <n v="11881.9696"/>
  </r>
  <r>
    <x v="37"/>
    <x v="0"/>
    <n v="30.495000000000001"/>
    <n v="0"/>
    <x v="1"/>
    <s v="northwest"/>
    <n v="11840.77505"/>
  </r>
  <r>
    <x v="12"/>
    <x v="1"/>
    <n v="39.6"/>
    <n v="0"/>
    <x v="1"/>
    <s v="southwest"/>
    <n v="10601.412"/>
  </r>
  <r>
    <x v="29"/>
    <x v="0"/>
    <n v="33"/>
    <n v="3"/>
    <x v="1"/>
    <s v="southeast"/>
    <n v="7682.67"/>
  </r>
  <r>
    <x v="41"/>
    <x v="0"/>
    <n v="36.630000000000003"/>
    <n v="3"/>
    <x v="1"/>
    <s v="southeast"/>
    <n v="10381.4787"/>
  </r>
  <r>
    <x v="44"/>
    <x v="1"/>
    <n v="30"/>
    <n v="0"/>
    <x v="0"/>
    <s v="southwest"/>
    <n v="22144.031999999999"/>
  </r>
  <r>
    <x v="10"/>
    <x v="0"/>
    <n v="38.094999999999999"/>
    <n v="2"/>
    <x v="1"/>
    <s v="northeast"/>
    <n v="15230.324049999999"/>
  </r>
  <r>
    <x v="12"/>
    <x v="1"/>
    <n v="25.934999999999999"/>
    <n v="0"/>
    <x v="1"/>
    <s v="northeast"/>
    <n v="11165.417649999999"/>
  </r>
  <r>
    <x v="0"/>
    <x v="1"/>
    <n v="25.175000000000001"/>
    <n v="0"/>
    <x v="1"/>
    <s v="northwest"/>
    <n v="1632.0362500000001"/>
  </r>
  <r>
    <x v="15"/>
    <x v="0"/>
    <n v="28.38"/>
    <n v="1"/>
    <x v="0"/>
    <s v="southeast"/>
    <n v="19521.968199999999"/>
  </r>
  <r>
    <x v="8"/>
    <x v="0"/>
    <n v="28.7"/>
    <n v="1"/>
    <x v="1"/>
    <s v="southwest"/>
    <n v="13224.692999999999"/>
  </r>
  <r>
    <x v="12"/>
    <x v="0"/>
    <n v="33.82"/>
    <n v="2"/>
    <x v="1"/>
    <s v="northwest"/>
    <n v="12643.3778"/>
  </r>
  <r>
    <x v="2"/>
    <x v="0"/>
    <n v="24.32"/>
    <n v="1"/>
    <x v="1"/>
    <s v="northeast"/>
    <n v="23288.928400000001"/>
  </r>
  <r>
    <x v="1"/>
    <x v="0"/>
    <n v="24.09"/>
    <n v="1"/>
    <x v="1"/>
    <s v="southeast"/>
    <n v="2201.0971"/>
  </r>
  <r>
    <x v="13"/>
    <x v="1"/>
    <n v="32.67"/>
    <n v="0"/>
    <x v="1"/>
    <s v="southeast"/>
    <n v="2497.0383000000002"/>
  </r>
  <r>
    <x v="1"/>
    <x v="0"/>
    <n v="30.114999999999998"/>
    <n v="0"/>
    <x v="1"/>
    <s v="northeast"/>
    <n v="2203.4718499999999"/>
  </r>
  <r>
    <x v="0"/>
    <x v="0"/>
    <n v="29.8"/>
    <n v="0"/>
    <x v="1"/>
    <s v="southwest"/>
    <n v="1744.4649999999999"/>
  </r>
  <r>
    <x v="42"/>
    <x v="0"/>
    <n v="33.344999999999999"/>
    <n v="0"/>
    <x v="1"/>
    <s v="northeast"/>
    <n v="20878.78443"/>
  </r>
  <r>
    <x v="40"/>
    <x v="1"/>
    <n v="25.1"/>
    <n v="3"/>
    <x v="0"/>
    <s v="southwest"/>
    <n v="25382.296999999999"/>
  </r>
  <r>
    <x v="35"/>
    <x v="1"/>
    <n v="28.31"/>
    <n v="1"/>
    <x v="0"/>
    <s v="northwest"/>
    <n v="28868.6639"/>
  </r>
  <r>
    <x v="23"/>
    <x v="1"/>
    <n v="28.5"/>
    <n v="0"/>
    <x v="0"/>
    <s v="northeast"/>
    <n v="35147.528480000001"/>
  </r>
  <r>
    <x v="9"/>
    <x v="1"/>
    <n v="35.625"/>
    <n v="0"/>
    <x v="1"/>
    <s v="northwest"/>
    <n v="2534.3937500000002"/>
  </r>
  <r>
    <x v="27"/>
    <x v="1"/>
    <n v="36.85"/>
    <n v="0"/>
    <x v="1"/>
    <s v="southeast"/>
    <n v="1534.3045"/>
  </r>
  <r>
    <x v="11"/>
    <x v="1"/>
    <n v="32.56"/>
    <n v="0"/>
    <x v="1"/>
    <s v="southeast"/>
    <n v="1824.2854"/>
  </r>
  <r>
    <x v="18"/>
    <x v="1"/>
    <n v="41.325000000000003"/>
    <n v="3"/>
    <x v="1"/>
    <s v="northwest"/>
    <n v="15555.188749999999"/>
  </r>
  <r>
    <x v="41"/>
    <x v="1"/>
    <n v="37.51"/>
    <n v="2"/>
    <x v="1"/>
    <s v="southeast"/>
    <n v="9304.7019"/>
  </r>
  <r>
    <x v="1"/>
    <x v="0"/>
    <n v="31.35"/>
    <n v="0"/>
    <x v="1"/>
    <s v="southeast"/>
    <n v="1622.1885"/>
  </r>
  <r>
    <x v="43"/>
    <x v="0"/>
    <n v="39.5"/>
    <n v="1"/>
    <x v="1"/>
    <s v="southwest"/>
    <n v="9880.0679999999993"/>
  </r>
  <r>
    <x v="28"/>
    <x v="1"/>
    <n v="34.299999999999997"/>
    <n v="3"/>
    <x v="1"/>
    <s v="southwest"/>
    <n v="9563.0290000000005"/>
  </r>
  <r>
    <x v="5"/>
    <x v="0"/>
    <n v="31.065000000000001"/>
    <n v="0"/>
    <x v="1"/>
    <s v="northeast"/>
    <n v="4347.0233500000004"/>
  </r>
  <r>
    <x v="40"/>
    <x v="0"/>
    <n v="21.47"/>
    <n v="3"/>
    <x v="1"/>
    <s v="northwest"/>
    <n v="12475.3513"/>
  </r>
  <r>
    <x v="0"/>
    <x v="1"/>
    <n v="28.7"/>
    <n v="0"/>
    <x v="1"/>
    <s v="southwest"/>
    <n v="1253.9359999999999"/>
  </r>
  <r>
    <x v="36"/>
    <x v="0"/>
    <n v="38.06"/>
    <n v="0"/>
    <x v="0"/>
    <s v="southeast"/>
    <n v="48885.135609999998"/>
  </r>
  <r>
    <x v="31"/>
    <x v="1"/>
    <n v="31.16"/>
    <n v="1"/>
    <x v="1"/>
    <s v="northwest"/>
    <n v="10461.9794"/>
  </r>
  <r>
    <x v="0"/>
    <x v="0"/>
    <n v="32.9"/>
    <n v="0"/>
    <x v="1"/>
    <s v="southwest"/>
    <n v="1748.7739999999999"/>
  </r>
  <r>
    <x v="35"/>
    <x v="0"/>
    <n v="25.08"/>
    <n v="0"/>
    <x v="1"/>
    <s v="southeast"/>
    <n v="24513.091260000001"/>
  </r>
  <r>
    <x v="1"/>
    <x v="0"/>
    <n v="25.08"/>
    <n v="0"/>
    <x v="1"/>
    <s v="northeast"/>
    <n v="2196.4731999999999"/>
  </r>
  <r>
    <x v="35"/>
    <x v="1"/>
    <n v="43.4"/>
    <n v="0"/>
    <x v="1"/>
    <s v="southwest"/>
    <n v="12574.049000000001"/>
  </r>
  <r>
    <x v="27"/>
    <x v="1"/>
    <n v="25.7"/>
    <n v="4"/>
    <x v="0"/>
    <s v="southwest"/>
    <n v="17942.106"/>
  </r>
  <r>
    <x v="34"/>
    <x v="1"/>
    <n v="27.93"/>
    <n v="0"/>
    <x v="1"/>
    <s v="northeast"/>
    <n v="1967.0227"/>
  </r>
  <r>
    <x v="5"/>
    <x v="0"/>
    <n v="23.6"/>
    <n v="2"/>
    <x v="1"/>
    <s v="southwest"/>
    <n v="4931.6469999999999"/>
  </r>
  <r>
    <x v="39"/>
    <x v="1"/>
    <n v="28.7"/>
    <n v="2"/>
    <x v="1"/>
    <s v="southwest"/>
    <n v="8027.9679999999998"/>
  </r>
  <r>
    <x v="36"/>
    <x v="0"/>
    <n v="23.98"/>
    <n v="2"/>
    <x v="1"/>
    <s v="southeast"/>
    <n v="8211.1002000000008"/>
  </r>
  <r>
    <x v="10"/>
    <x v="0"/>
    <n v="39.200000000000003"/>
    <n v="0"/>
    <x v="1"/>
    <s v="southwest"/>
    <n v="13470.86"/>
  </r>
  <r>
    <x v="38"/>
    <x v="1"/>
    <n v="34.4"/>
    <n v="0"/>
    <x v="0"/>
    <s v="southwest"/>
    <n v="36197.699000000001"/>
  </r>
  <r>
    <x v="32"/>
    <x v="1"/>
    <n v="26.03"/>
    <n v="0"/>
    <x v="1"/>
    <s v="northeast"/>
    <n v="6837.3687"/>
  </r>
  <r>
    <x v="43"/>
    <x v="1"/>
    <n v="23.21"/>
    <n v="1"/>
    <x v="0"/>
    <s v="southeast"/>
    <n v="22218.1149"/>
  </r>
  <r>
    <x v="0"/>
    <x v="1"/>
    <n v="30.25"/>
    <n v="0"/>
    <x v="0"/>
    <s v="southeast"/>
    <n v="32548.340499999998"/>
  </r>
  <r>
    <x v="25"/>
    <x v="0"/>
    <n v="28.93"/>
    <n v="1"/>
    <x v="1"/>
    <s v="southeast"/>
    <n v="5974.3846999999996"/>
  </r>
  <r>
    <x v="7"/>
    <x v="1"/>
    <n v="30.875"/>
    <n v="3"/>
    <x v="1"/>
    <s v="northwest"/>
    <n v="6796.8632500000003"/>
  </r>
  <r>
    <x v="20"/>
    <x v="1"/>
    <n v="31.35"/>
    <n v="1"/>
    <x v="1"/>
    <s v="northwest"/>
    <n v="2643.2685000000001"/>
  </r>
  <r>
    <x v="27"/>
    <x v="1"/>
    <n v="23.75"/>
    <n v="2"/>
    <x v="1"/>
    <s v="northwest"/>
    <n v="3077.0954999999999"/>
  </r>
  <r>
    <x v="23"/>
    <x v="0"/>
    <n v="25.27"/>
    <n v="0"/>
    <x v="1"/>
    <s v="northeast"/>
    <n v="3044.2132999999999"/>
  </r>
  <r>
    <x v="37"/>
    <x v="0"/>
    <n v="28.7"/>
    <n v="0"/>
    <x v="1"/>
    <s v="southwest"/>
    <n v="11455.28"/>
  </r>
  <r>
    <x v="12"/>
    <x v="1"/>
    <n v="32.11"/>
    <n v="1"/>
    <x v="1"/>
    <s v="northeast"/>
    <n v="11763.000899999999"/>
  </r>
  <r>
    <x v="13"/>
    <x v="1"/>
    <n v="33.659999999999997"/>
    <n v="0"/>
    <x v="1"/>
    <s v="southeast"/>
    <n v="2498.4144000000001"/>
  </r>
  <r>
    <x v="43"/>
    <x v="1"/>
    <n v="22.42"/>
    <n v="0"/>
    <x v="1"/>
    <s v="northeast"/>
    <n v="9361.3268000000007"/>
  </r>
  <r>
    <x v="0"/>
    <x v="1"/>
    <n v="30.4"/>
    <n v="0"/>
    <x v="1"/>
    <s v="southwest"/>
    <n v="1256.299"/>
  </r>
  <r>
    <x v="46"/>
    <x v="1"/>
    <n v="28.3"/>
    <n v="1"/>
    <x v="0"/>
    <s v="southwest"/>
    <n v="21082.16"/>
  </r>
  <r>
    <x v="30"/>
    <x v="1"/>
    <n v="35.700000000000003"/>
    <n v="0"/>
    <x v="1"/>
    <s v="southwest"/>
    <n v="11362.754999999999"/>
  </r>
  <r>
    <x v="34"/>
    <x v="1"/>
    <n v="35.31"/>
    <n v="1"/>
    <x v="1"/>
    <s v="southeast"/>
    <n v="27724.28875"/>
  </r>
  <r>
    <x v="39"/>
    <x v="1"/>
    <n v="30.495000000000001"/>
    <n v="2"/>
    <x v="1"/>
    <s v="northwest"/>
    <n v="8413.4630500000003"/>
  </r>
  <r>
    <x v="22"/>
    <x v="0"/>
    <n v="31"/>
    <n v="1"/>
    <x v="1"/>
    <s v="southwest"/>
    <n v="5240.7650000000003"/>
  </r>
  <r>
    <x v="5"/>
    <x v="1"/>
    <n v="30.875"/>
    <n v="0"/>
    <x v="1"/>
    <s v="northeast"/>
    <n v="3857.7592500000001"/>
  </r>
  <r>
    <x v="45"/>
    <x v="0"/>
    <n v="27.36"/>
    <n v="0"/>
    <x v="1"/>
    <s v="northeast"/>
    <n v="25656.575260000001"/>
  </r>
  <r>
    <x v="4"/>
    <x v="0"/>
    <n v="44.22"/>
    <n v="0"/>
    <x v="1"/>
    <s v="southeast"/>
    <n v="3994.1777999999999"/>
  </r>
  <r>
    <x v="43"/>
    <x v="0"/>
    <n v="33.914999999999999"/>
    <n v="0"/>
    <x v="1"/>
    <s v="northeast"/>
    <n v="9866.3048500000004"/>
  </r>
  <r>
    <x v="25"/>
    <x v="0"/>
    <n v="37.729999999999997"/>
    <n v="0"/>
    <x v="1"/>
    <s v="southeast"/>
    <n v="5397.6166999999996"/>
  </r>
  <r>
    <x v="44"/>
    <x v="1"/>
    <n v="26.07"/>
    <n v="1"/>
    <x v="0"/>
    <s v="southeast"/>
    <n v="38245.593269999998"/>
  </r>
  <r>
    <x v="1"/>
    <x v="0"/>
    <n v="33.880000000000003"/>
    <n v="0"/>
    <x v="1"/>
    <s v="southeast"/>
    <n v="11482.63485"/>
  </r>
  <r>
    <x v="0"/>
    <x v="0"/>
    <n v="30.59"/>
    <n v="2"/>
    <x v="1"/>
    <s v="northwest"/>
    <n v="24059.680189999999"/>
  </r>
  <r>
    <x v="43"/>
    <x v="0"/>
    <n v="25.8"/>
    <n v="1"/>
    <x v="1"/>
    <s v="southwest"/>
    <n v="9861.0249999999996"/>
  </r>
  <r>
    <x v="6"/>
    <x v="1"/>
    <n v="39.424999999999997"/>
    <n v="1"/>
    <x v="1"/>
    <s v="northeast"/>
    <n v="8342.9087500000005"/>
  </r>
  <r>
    <x v="1"/>
    <x v="1"/>
    <n v="25.46"/>
    <n v="0"/>
    <x v="1"/>
    <s v="northeast"/>
    <n v="1708.0014000000001"/>
  </r>
  <r>
    <x v="37"/>
    <x v="1"/>
    <n v="42.13"/>
    <n v="1"/>
    <x v="0"/>
    <s v="southeast"/>
    <n v="48675.517699999997"/>
  </r>
  <r>
    <x v="10"/>
    <x v="0"/>
    <n v="31.73"/>
    <n v="0"/>
    <x v="1"/>
    <s v="northeast"/>
    <n v="14043.476699999999"/>
  </r>
  <r>
    <x v="17"/>
    <x v="1"/>
    <n v="29.7"/>
    <n v="2"/>
    <x v="1"/>
    <s v="southeast"/>
    <n v="12925.886"/>
  </r>
  <r>
    <x v="7"/>
    <x v="1"/>
    <n v="36.19"/>
    <n v="0"/>
    <x v="1"/>
    <s v="southeast"/>
    <n v="19214.705529999999"/>
  </r>
  <r>
    <x v="33"/>
    <x v="1"/>
    <n v="40.479999999999997"/>
    <n v="0"/>
    <x v="1"/>
    <s v="southeast"/>
    <n v="13831.1152"/>
  </r>
  <r>
    <x v="25"/>
    <x v="1"/>
    <n v="28.024999999999999"/>
    <n v="1"/>
    <x v="1"/>
    <s v="northeast"/>
    <n v="6067.1267500000004"/>
  </r>
  <r>
    <x v="3"/>
    <x v="0"/>
    <n v="38.9"/>
    <n v="3"/>
    <x v="1"/>
    <s v="southwest"/>
    <n v="5972.3779999999997"/>
  </r>
  <r>
    <x v="6"/>
    <x v="0"/>
    <n v="30.2"/>
    <n v="2"/>
    <x v="1"/>
    <s v="southwest"/>
    <n v="8825.0859999999993"/>
  </r>
  <r>
    <x v="6"/>
    <x v="0"/>
    <n v="28.05"/>
    <n v="1"/>
    <x v="1"/>
    <s v="southeast"/>
    <n v="8233.0974999999999"/>
  </r>
  <r>
    <x v="31"/>
    <x v="1"/>
    <n v="31.35"/>
    <n v="0"/>
    <x v="1"/>
    <s v="southeast"/>
    <n v="27346.04207"/>
  </r>
  <r>
    <x v="16"/>
    <x v="0"/>
    <n v="38"/>
    <n v="3"/>
    <x v="1"/>
    <s v="southwest"/>
    <n v="6196.4480000000003"/>
  </r>
  <r>
    <x v="34"/>
    <x v="0"/>
    <n v="31.79"/>
    <n v="2"/>
    <x v="1"/>
    <s v="southeast"/>
    <n v="3056.3881000000001"/>
  </r>
  <r>
    <x v="18"/>
    <x v="0"/>
    <n v="36.299999999999997"/>
    <n v="0"/>
    <x v="1"/>
    <s v="southeast"/>
    <n v="13887.204"/>
  </r>
  <r>
    <x v="40"/>
    <x v="0"/>
    <n v="47.41"/>
    <n v="0"/>
    <x v="0"/>
    <s v="southeast"/>
    <n v="63770.428010000003"/>
  </r>
  <r>
    <x v="40"/>
    <x v="1"/>
    <n v="30.21"/>
    <n v="0"/>
    <x v="1"/>
    <s v="northwest"/>
    <n v="10231.499900000001"/>
  </r>
  <r>
    <x v="41"/>
    <x v="1"/>
    <n v="25.84"/>
    <n v="2"/>
    <x v="0"/>
    <s v="northwest"/>
    <n v="23807.240600000001"/>
  </r>
  <r>
    <x v="2"/>
    <x v="1"/>
    <n v="35.435000000000002"/>
    <n v="0"/>
    <x v="1"/>
    <s v="northeast"/>
    <n v="3268.84665"/>
  </r>
  <r>
    <x v="40"/>
    <x v="0"/>
    <n v="46.7"/>
    <n v="2"/>
    <x v="1"/>
    <s v="southwest"/>
    <n v="11538.421"/>
  </r>
  <r>
    <x v="9"/>
    <x v="0"/>
    <n v="28.594999999999999"/>
    <n v="0"/>
    <x v="1"/>
    <s v="northeast"/>
    <n v="3213.6220499999999"/>
  </r>
  <r>
    <x v="32"/>
    <x v="0"/>
    <n v="46.2"/>
    <n v="0"/>
    <x v="0"/>
    <s v="southeast"/>
    <n v="45863.205000000002"/>
  </r>
  <r>
    <x v="18"/>
    <x v="1"/>
    <n v="30.8"/>
    <n v="0"/>
    <x v="1"/>
    <s v="southwest"/>
    <n v="13390.558999999999"/>
  </r>
  <r>
    <x v="4"/>
    <x v="0"/>
    <n v="28.93"/>
    <n v="0"/>
    <x v="1"/>
    <s v="southeast"/>
    <n v="3972.9247"/>
  </r>
  <r>
    <x v="10"/>
    <x v="1"/>
    <n v="21.4"/>
    <n v="0"/>
    <x v="1"/>
    <s v="southwest"/>
    <n v="12957.118"/>
  </r>
  <r>
    <x v="14"/>
    <x v="0"/>
    <n v="31.73"/>
    <n v="2"/>
    <x v="1"/>
    <s v="northwest"/>
    <n v="11187.6567"/>
  </r>
  <r>
    <x v="9"/>
    <x v="0"/>
    <n v="41.325000000000003"/>
    <n v="0"/>
    <x v="1"/>
    <s v="northeast"/>
    <n v="17878.900679999999"/>
  </r>
  <r>
    <x v="2"/>
    <x v="1"/>
    <n v="23.8"/>
    <n v="2"/>
    <x v="1"/>
    <s v="southwest"/>
    <n v="3847.674"/>
  </r>
  <r>
    <x v="6"/>
    <x v="1"/>
    <n v="33.44"/>
    <n v="1"/>
    <x v="1"/>
    <s v="northeast"/>
    <n v="8334.5895999999993"/>
  </r>
  <r>
    <x v="16"/>
    <x v="1"/>
    <n v="34.21"/>
    <n v="0"/>
    <x v="1"/>
    <s v="southeast"/>
    <n v="3935.1799000000001"/>
  </r>
  <r>
    <x v="22"/>
    <x v="0"/>
    <n v="34.104999999999997"/>
    <n v="3"/>
    <x v="0"/>
    <s v="northwest"/>
    <n v="39983.425949999997"/>
  </r>
  <r>
    <x v="0"/>
    <x v="1"/>
    <n v="35.53"/>
    <n v="0"/>
    <x v="1"/>
    <s v="northwest"/>
    <n v="1646.4296999999999"/>
  </r>
  <r>
    <x v="6"/>
    <x v="0"/>
    <n v="19.95"/>
    <n v="2"/>
    <x v="1"/>
    <s v="northwest"/>
    <n v="9193.8384999999998"/>
  </r>
  <r>
    <x v="40"/>
    <x v="0"/>
    <n v="32.68"/>
    <n v="0"/>
    <x v="1"/>
    <s v="northeast"/>
    <n v="10923.933199999999"/>
  </r>
  <r>
    <x v="13"/>
    <x v="1"/>
    <n v="30.5"/>
    <n v="0"/>
    <x v="1"/>
    <s v="southwest"/>
    <n v="2494.0219999999999"/>
  </r>
  <r>
    <x v="45"/>
    <x v="1"/>
    <n v="44.77"/>
    <n v="1"/>
    <x v="1"/>
    <s v="southeast"/>
    <n v="9058.7302999999993"/>
  </r>
  <r>
    <x v="1"/>
    <x v="0"/>
    <n v="32.119999999999997"/>
    <n v="2"/>
    <x v="1"/>
    <s v="southeast"/>
    <n v="2801.2588000000001"/>
  </r>
  <r>
    <x v="0"/>
    <x v="0"/>
    <n v="30.495000000000001"/>
    <n v="0"/>
    <x v="1"/>
    <s v="northwest"/>
    <n v="2128.4310500000001"/>
  </r>
  <r>
    <x v="25"/>
    <x v="0"/>
    <n v="40.564999999999998"/>
    <n v="1"/>
    <x v="1"/>
    <s v="northwest"/>
    <n v="6373.55735"/>
  </r>
  <r>
    <x v="24"/>
    <x v="1"/>
    <n v="30.59"/>
    <n v="2"/>
    <x v="1"/>
    <s v="northwest"/>
    <n v="7256.7231000000002"/>
  </r>
  <r>
    <x v="41"/>
    <x v="0"/>
    <n v="31.9"/>
    <n v="5"/>
    <x v="1"/>
    <s v="southwest"/>
    <n v="11552.904"/>
  </r>
  <r>
    <x v="28"/>
    <x v="1"/>
    <n v="40.564999999999998"/>
    <n v="2"/>
    <x v="0"/>
    <s v="northwest"/>
    <n v="45702.022349999999"/>
  </r>
  <r>
    <x v="5"/>
    <x v="0"/>
    <n v="29.1"/>
    <n v="0"/>
    <x v="1"/>
    <s v="southwest"/>
    <n v="3761.2919999999999"/>
  </r>
  <r>
    <x v="1"/>
    <x v="0"/>
    <n v="37.29"/>
    <n v="1"/>
    <x v="1"/>
    <s v="southeast"/>
    <n v="2219.4450999999999"/>
  </r>
  <r>
    <x v="15"/>
    <x v="0"/>
    <n v="43.12"/>
    <n v="2"/>
    <x v="1"/>
    <s v="southeast"/>
    <n v="4753.6368000000002"/>
  </r>
  <r>
    <x v="10"/>
    <x v="0"/>
    <n v="36.86"/>
    <n v="1"/>
    <x v="1"/>
    <s v="northeast"/>
    <n v="31620.001059999999"/>
  </r>
  <r>
    <x v="37"/>
    <x v="0"/>
    <n v="34.295000000000002"/>
    <n v="2"/>
    <x v="1"/>
    <s v="northeast"/>
    <n v="13224.057049999999"/>
  </r>
  <r>
    <x v="30"/>
    <x v="0"/>
    <n v="27.17"/>
    <n v="0"/>
    <x v="1"/>
    <s v="northwest"/>
    <n v="12222.898300000001"/>
  </r>
  <r>
    <x v="20"/>
    <x v="1"/>
    <n v="26.84"/>
    <n v="0"/>
    <x v="1"/>
    <s v="southeast"/>
    <n v="1664.9996000000001"/>
  </r>
  <r>
    <x v="5"/>
    <x v="0"/>
    <n v="38.094999999999999"/>
    <n v="1"/>
    <x v="0"/>
    <s v="northeast"/>
    <n v="58571.074480000003"/>
  </r>
  <r>
    <x v="14"/>
    <x v="1"/>
    <n v="30.2"/>
    <n v="1"/>
    <x v="1"/>
    <s v="southwest"/>
    <n v="9724.5300000000007"/>
  </r>
  <r>
    <x v="9"/>
    <x v="0"/>
    <n v="23.465"/>
    <n v="0"/>
    <x v="1"/>
    <s v="northeast"/>
    <n v="3206.4913499999998"/>
  </r>
  <r>
    <x v="17"/>
    <x v="1"/>
    <n v="25.46"/>
    <n v="1"/>
    <x v="1"/>
    <s v="northeast"/>
    <n v="12913.992399999999"/>
  </r>
  <r>
    <x v="0"/>
    <x v="1"/>
    <n v="30.59"/>
    <n v="0"/>
    <x v="1"/>
    <s v="northwest"/>
    <n v="1639.5631000000001"/>
  </r>
  <r>
    <x v="46"/>
    <x v="1"/>
    <n v="45.43"/>
    <n v="2"/>
    <x v="1"/>
    <s v="southeast"/>
    <n v="6356.2707"/>
  </r>
  <r>
    <x v="4"/>
    <x v="0"/>
    <n v="23.65"/>
    <n v="1"/>
    <x v="1"/>
    <s v="southeast"/>
    <n v="17626.239509999999"/>
  </r>
  <r>
    <x v="0"/>
    <x v="1"/>
    <n v="20.7"/>
    <n v="0"/>
    <x v="1"/>
    <s v="southwest"/>
    <n v="1242.816"/>
  </r>
  <r>
    <x v="3"/>
    <x v="0"/>
    <n v="28.27"/>
    <n v="1"/>
    <x v="1"/>
    <s v="southeast"/>
    <n v="4779.6022999999996"/>
  </r>
  <r>
    <x v="27"/>
    <x v="1"/>
    <n v="20.234999999999999"/>
    <n v="3"/>
    <x v="1"/>
    <s v="northeast"/>
    <n v="3861.2096499999998"/>
  </r>
  <r>
    <x v="16"/>
    <x v="0"/>
    <n v="30.21"/>
    <n v="1"/>
    <x v="0"/>
    <s v="northwest"/>
    <n v="43943.876100000001"/>
  </r>
  <r>
    <x v="35"/>
    <x v="0"/>
    <n v="35.909999999999997"/>
    <n v="0"/>
    <x v="1"/>
    <s v="northeast"/>
    <n v="13635.6379"/>
  </r>
  <r>
    <x v="25"/>
    <x v="0"/>
    <n v="30.69"/>
    <n v="1"/>
    <x v="1"/>
    <s v="southeast"/>
    <n v="5976.8311000000003"/>
  </r>
  <r>
    <x v="30"/>
    <x v="0"/>
    <n v="29"/>
    <n v="0"/>
    <x v="1"/>
    <s v="southwest"/>
    <n v="11842.441999999999"/>
  </r>
  <r>
    <x v="42"/>
    <x v="1"/>
    <n v="19.57"/>
    <n v="1"/>
    <x v="1"/>
    <s v="northwest"/>
    <n v="8428.0692999999992"/>
  </r>
  <r>
    <x v="34"/>
    <x v="1"/>
    <n v="31.13"/>
    <n v="2"/>
    <x v="1"/>
    <s v="southeast"/>
    <n v="2566.4706999999999"/>
  </r>
  <r>
    <x v="27"/>
    <x v="0"/>
    <n v="21.85"/>
    <n v="1"/>
    <x v="0"/>
    <s v="northeast"/>
    <n v="15359.104499999999"/>
  </r>
  <r>
    <x v="24"/>
    <x v="1"/>
    <n v="40.26"/>
    <n v="0"/>
    <x v="1"/>
    <s v="southeast"/>
    <n v="5709.1643999999997"/>
  </r>
  <r>
    <x v="6"/>
    <x v="0"/>
    <n v="33.725000000000001"/>
    <n v="1"/>
    <x v="1"/>
    <s v="northeast"/>
    <n v="8823.9857499999998"/>
  </r>
  <r>
    <x v="44"/>
    <x v="0"/>
    <n v="29.48"/>
    <n v="2"/>
    <x v="1"/>
    <s v="southeast"/>
    <n v="7640.3091999999997"/>
  </r>
  <r>
    <x v="16"/>
    <x v="0"/>
    <n v="33.25"/>
    <n v="1"/>
    <x v="1"/>
    <s v="northeast"/>
    <n v="5594.8455000000004"/>
  </r>
  <r>
    <x v="32"/>
    <x v="1"/>
    <n v="32.6"/>
    <n v="2"/>
    <x v="1"/>
    <s v="southwest"/>
    <n v="7441.5010000000002"/>
  </r>
  <r>
    <x v="14"/>
    <x v="0"/>
    <n v="37.524999999999999"/>
    <n v="2"/>
    <x v="1"/>
    <s v="northwest"/>
    <n v="33471.971890000001"/>
  </r>
  <r>
    <x v="1"/>
    <x v="0"/>
    <n v="39.159999999999997"/>
    <n v="0"/>
    <x v="1"/>
    <s v="southeast"/>
    <n v="1633.0444"/>
  </r>
  <r>
    <x v="43"/>
    <x v="1"/>
    <n v="31.635000000000002"/>
    <n v="0"/>
    <x v="1"/>
    <s v="northwest"/>
    <n v="9174.1356500000002"/>
  </r>
  <r>
    <x v="12"/>
    <x v="0"/>
    <n v="25.3"/>
    <n v="0"/>
    <x v="1"/>
    <s v="southwest"/>
    <n v="11070.535"/>
  </r>
  <r>
    <x v="33"/>
    <x v="0"/>
    <n v="39.049999999999997"/>
    <n v="3"/>
    <x v="1"/>
    <s v="southeast"/>
    <n v="16085.127500000001"/>
  </r>
  <r>
    <x v="0"/>
    <x v="0"/>
    <n v="28.31"/>
    <n v="0"/>
    <x v="0"/>
    <s v="northwest"/>
    <n v="17468.983899999999"/>
  </r>
  <r>
    <x v="43"/>
    <x v="0"/>
    <n v="34.1"/>
    <n v="0"/>
    <x v="1"/>
    <s v="southeast"/>
    <n v="9283.5619999999999"/>
  </r>
  <r>
    <x v="13"/>
    <x v="0"/>
    <n v="25.175000000000001"/>
    <n v="0"/>
    <x v="1"/>
    <s v="northeast"/>
    <n v="3558.6202499999999"/>
  </r>
  <r>
    <x v="17"/>
    <x v="0"/>
    <n v="23.655000000000001"/>
    <n v="0"/>
    <x v="0"/>
    <s v="northwest"/>
    <n v="25678.778450000002"/>
  </r>
  <r>
    <x v="2"/>
    <x v="1"/>
    <n v="26.98"/>
    <n v="2"/>
    <x v="1"/>
    <s v="northeast"/>
    <n v="4435.0941999999995"/>
  </r>
  <r>
    <x v="15"/>
    <x v="1"/>
    <n v="37.799999999999997"/>
    <n v="2"/>
    <x v="0"/>
    <s v="southwest"/>
    <n v="39241.442000000003"/>
  </r>
  <r>
    <x v="42"/>
    <x v="0"/>
    <n v="29.37"/>
    <n v="1"/>
    <x v="1"/>
    <s v="southeast"/>
    <n v="8547.6913000000004"/>
  </r>
  <r>
    <x v="25"/>
    <x v="0"/>
    <n v="34.799999999999997"/>
    <n v="2"/>
    <x v="1"/>
    <s v="southwest"/>
    <n v="6571.5439999999999"/>
  </r>
  <r>
    <x v="1"/>
    <x v="0"/>
    <n v="33.155000000000001"/>
    <n v="0"/>
    <x v="1"/>
    <s v="northeast"/>
    <n v="2207.6974500000001"/>
  </r>
  <r>
    <x v="16"/>
    <x v="0"/>
    <n v="19"/>
    <n v="3"/>
    <x v="1"/>
    <s v="northeast"/>
    <n v="6753.0379999999996"/>
  </r>
  <r>
    <x v="34"/>
    <x v="0"/>
    <n v="33"/>
    <n v="0"/>
    <x v="1"/>
    <s v="southeast"/>
    <n v="1880.07"/>
  </r>
  <r>
    <x v="42"/>
    <x v="0"/>
    <n v="36.630000000000003"/>
    <n v="1"/>
    <x v="0"/>
    <s v="southeast"/>
    <n v="42969.852700000003"/>
  </r>
  <r>
    <x v="12"/>
    <x v="0"/>
    <n v="28.594999999999999"/>
    <n v="0"/>
    <x v="1"/>
    <s v="northeast"/>
    <n v="11658.11505"/>
  </r>
  <r>
    <x v="41"/>
    <x v="1"/>
    <n v="25.6"/>
    <n v="2"/>
    <x v="0"/>
    <s v="southwest"/>
    <n v="23306.546999999999"/>
  </r>
  <r>
    <x v="0"/>
    <x v="0"/>
    <n v="33.11"/>
    <n v="0"/>
    <x v="0"/>
    <s v="southeast"/>
    <n v="34439.855900000002"/>
  </r>
  <r>
    <x v="19"/>
    <x v="0"/>
    <n v="37.1"/>
    <n v="0"/>
    <x v="1"/>
    <s v="southwest"/>
    <n v="10713.644"/>
  </r>
  <r>
    <x v="15"/>
    <x v="1"/>
    <n v="31.4"/>
    <n v="1"/>
    <x v="1"/>
    <s v="southwest"/>
    <n v="3659.346"/>
  </r>
  <r>
    <x v="7"/>
    <x v="1"/>
    <n v="34.1"/>
    <n v="4"/>
    <x v="0"/>
    <s v="southwest"/>
    <n v="40182.245999999999"/>
  </r>
  <r>
    <x v="41"/>
    <x v="0"/>
    <n v="21.3"/>
    <n v="1"/>
    <x v="1"/>
    <s v="southwest"/>
    <n v="9182.17"/>
  </r>
  <r>
    <x v="1"/>
    <x v="1"/>
    <n v="33.534999999999997"/>
    <n v="0"/>
    <x v="0"/>
    <s v="northeast"/>
    <n v="34617.840649999998"/>
  </r>
  <r>
    <x v="17"/>
    <x v="1"/>
    <n v="28.785"/>
    <n v="0"/>
    <x v="1"/>
    <s v="northwest"/>
    <n v="12129.614149999999"/>
  </r>
  <r>
    <x v="38"/>
    <x v="0"/>
    <n v="26.03"/>
    <n v="0"/>
    <x v="1"/>
    <s v="northwest"/>
    <n v="3736.4647"/>
  </r>
  <r>
    <x v="26"/>
    <x v="1"/>
    <n v="28.88"/>
    <n v="3"/>
    <x v="1"/>
    <s v="northeast"/>
    <n v="6748.5911999999998"/>
  </r>
  <r>
    <x v="3"/>
    <x v="1"/>
    <n v="42.46"/>
    <n v="1"/>
    <x v="1"/>
    <s v="southeast"/>
    <n v="11326.71487"/>
  </r>
  <r>
    <x v="30"/>
    <x v="1"/>
    <n v="38"/>
    <n v="0"/>
    <x v="1"/>
    <s v="southwest"/>
    <n v="11365.951999999999"/>
  </r>
  <r>
    <x v="36"/>
    <x v="0"/>
    <n v="38.950000000000003"/>
    <n v="0"/>
    <x v="0"/>
    <s v="northwest"/>
    <n v="42983.458500000001"/>
  </r>
  <r>
    <x v="31"/>
    <x v="1"/>
    <n v="36.1"/>
    <n v="1"/>
    <x v="1"/>
    <s v="southwest"/>
    <n v="10085.846"/>
  </r>
  <r>
    <x v="23"/>
    <x v="1"/>
    <n v="29.3"/>
    <n v="0"/>
    <x v="1"/>
    <s v="southwest"/>
    <n v="1977.8150000000001"/>
  </r>
  <r>
    <x v="38"/>
    <x v="0"/>
    <n v="35.53"/>
    <n v="0"/>
    <x v="1"/>
    <s v="southeast"/>
    <n v="3366.6696999999999"/>
  </r>
  <r>
    <x v="29"/>
    <x v="1"/>
    <n v="22.704999999999998"/>
    <n v="2"/>
    <x v="1"/>
    <s v="northeast"/>
    <n v="7173.35995"/>
  </r>
  <r>
    <x v="43"/>
    <x v="1"/>
    <n v="39.700000000000003"/>
    <n v="1"/>
    <x v="1"/>
    <s v="southwest"/>
    <n v="9391.3459999999995"/>
  </r>
  <r>
    <x v="33"/>
    <x v="1"/>
    <n v="38.19"/>
    <n v="0"/>
    <x v="1"/>
    <s v="northeast"/>
    <n v="14410.9321"/>
  </r>
  <r>
    <x v="0"/>
    <x v="0"/>
    <n v="24.51"/>
    <n v="1"/>
    <x v="1"/>
    <s v="northwest"/>
    <n v="2709.1118999999999"/>
  </r>
  <r>
    <x v="22"/>
    <x v="0"/>
    <n v="38.094999999999999"/>
    <n v="2"/>
    <x v="1"/>
    <s v="northeast"/>
    <n v="24915.046259999999"/>
  </r>
  <r>
    <x v="46"/>
    <x v="1"/>
    <n v="26.41"/>
    <n v="0"/>
    <x v="0"/>
    <s v="northeast"/>
    <n v="20149.322899999999"/>
  </r>
  <r>
    <x v="12"/>
    <x v="1"/>
    <n v="33.659999999999997"/>
    <n v="4"/>
    <x v="1"/>
    <s v="southeast"/>
    <n v="12949.1554"/>
  </r>
  <r>
    <x v="3"/>
    <x v="1"/>
    <n v="42.4"/>
    <n v="5"/>
    <x v="1"/>
    <s v="southwest"/>
    <n v="6666.2430000000004"/>
  </r>
  <r>
    <x v="44"/>
    <x v="1"/>
    <n v="28.31"/>
    <n v="3"/>
    <x v="0"/>
    <s v="northwest"/>
    <n v="32787.458590000002"/>
  </r>
  <r>
    <x v="35"/>
    <x v="1"/>
    <n v="33.914999999999999"/>
    <n v="0"/>
    <x v="1"/>
    <s v="northeast"/>
    <n v="13143.86485"/>
  </r>
  <r>
    <x v="11"/>
    <x v="0"/>
    <n v="34.96"/>
    <n v="3"/>
    <x v="1"/>
    <s v="northwest"/>
    <n v="4466.6214"/>
  </r>
  <r>
    <x v="32"/>
    <x v="1"/>
    <n v="35.31"/>
    <n v="2"/>
    <x v="1"/>
    <s v="southeast"/>
    <n v="18806.145469999999"/>
  </r>
  <r>
    <x v="28"/>
    <x v="1"/>
    <n v="30.78"/>
    <n v="3"/>
    <x v="1"/>
    <s v="northeast"/>
    <n v="10141.136200000001"/>
  </r>
  <r>
    <x v="46"/>
    <x v="1"/>
    <n v="26.22"/>
    <n v="1"/>
    <x v="1"/>
    <s v="northwest"/>
    <n v="6123.5688"/>
  </r>
  <r>
    <x v="29"/>
    <x v="0"/>
    <n v="23.37"/>
    <n v="3"/>
    <x v="1"/>
    <s v="northeast"/>
    <n v="8252.2842999999993"/>
  </r>
  <r>
    <x v="1"/>
    <x v="1"/>
    <n v="28.5"/>
    <n v="0"/>
    <x v="1"/>
    <s v="northeast"/>
    <n v="1712.2270000000001"/>
  </r>
  <r>
    <x v="30"/>
    <x v="0"/>
    <n v="32.965000000000003"/>
    <n v="0"/>
    <x v="1"/>
    <s v="northeast"/>
    <n v="12430.95335"/>
  </r>
  <r>
    <x v="41"/>
    <x v="0"/>
    <n v="42.68"/>
    <n v="2"/>
    <x v="1"/>
    <s v="southeast"/>
    <n v="9800.8881999999994"/>
  </r>
  <r>
    <x v="31"/>
    <x v="0"/>
    <n v="39.6"/>
    <n v="1"/>
    <x v="1"/>
    <s v="southeast"/>
    <n v="10579.710999999999"/>
  </r>
  <r>
    <x v="28"/>
    <x v="0"/>
    <n v="31.13"/>
    <n v="0"/>
    <x v="1"/>
    <s v="southeast"/>
    <n v="8280.6226999999999"/>
  </r>
  <r>
    <x v="39"/>
    <x v="0"/>
    <n v="36.299999999999997"/>
    <n v="2"/>
    <x v="1"/>
    <s v="southeast"/>
    <n v="8527.5319999999992"/>
  </r>
  <r>
    <x v="17"/>
    <x v="0"/>
    <n v="35.200000000000003"/>
    <n v="0"/>
    <x v="1"/>
    <s v="southeast"/>
    <n v="12244.531000000001"/>
  </r>
  <r>
    <x v="14"/>
    <x v="0"/>
    <n v="25.3"/>
    <n v="2"/>
    <x v="0"/>
    <s v="southeast"/>
    <n v="24667.419000000002"/>
  </r>
  <r>
    <x v="21"/>
    <x v="0"/>
    <n v="42.4"/>
    <n v="1"/>
    <x v="1"/>
    <s v="southwest"/>
    <n v="3410.3240000000001"/>
  </r>
  <r>
    <x v="13"/>
    <x v="1"/>
    <n v="33.155000000000001"/>
    <n v="2"/>
    <x v="1"/>
    <s v="northwest"/>
    <n v="4058.71245"/>
  </r>
  <r>
    <x v="28"/>
    <x v="0"/>
    <n v="35.909999999999997"/>
    <n v="1"/>
    <x v="1"/>
    <s v="northeast"/>
    <n v="26392.260289999998"/>
  </r>
  <r>
    <x v="37"/>
    <x v="0"/>
    <n v="28.785"/>
    <n v="4"/>
    <x v="1"/>
    <s v="northeast"/>
    <n v="14394.398150000001"/>
  </r>
  <r>
    <x v="7"/>
    <x v="1"/>
    <n v="46.53"/>
    <n v="3"/>
    <x v="1"/>
    <s v="southeast"/>
    <n v="6435.6237000000001"/>
  </r>
  <r>
    <x v="37"/>
    <x v="0"/>
    <n v="23.98"/>
    <n v="1"/>
    <x v="1"/>
    <s v="southeast"/>
    <n v="22192.437109999999"/>
  </r>
  <r>
    <x v="4"/>
    <x v="0"/>
    <n v="31.54"/>
    <n v="1"/>
    <x v="1"/>
    <s v="northeast"/>
    <n v="5148.5526"/>
  </r>
  <r>
    <x v="1"/>
    <x v="1"/>
    <n v="33.659999999999997"/>
    <n v="0"/>
    <x v="1"/>
    <s v="southeast"/>
    <n v="1136.3994"/>
  </r>
  <r>
    <x v="33"/>
    <x v="0"/>
    <n v="22.99"/>
    <n v="0"/>
    <x v="0"/>
    <s v="southeast"/>
    <n v="27037.914100000002"/>
  </r>
  <r>
    <x v="32"/>
    <x v="1"/>
    <n v="38.06"/>
    <n v="2"/>
    <x v="0"/>
    <s v="southeast"/>
    <n v="42560.430399999997"/>
  </r>
  <r>
    <x v="41"/>
    <x v="1"/>
    <n v="28.7"/>
    <n v="1"/>
    <x v="1"/>
    <s v="southwest"/>
    <n v="8703.4560000000001"/>
  </r>
  <r>
    <x v="29"/>
    <x v="0"/>
    <n v="32.774999999999999"/>
    <n v="2"/>
    <x v="0"/>
    <s v="northwest"/>
    <n v="40003.332249999999"/>
  </r>
  <r>
    <x v="10"/>
    <x v="1"/>
    <n v="32.015000000000001"/>
    <n v="0"/>
    <x v="0"/>
    <s v="northeast"/>
    <n v="45710.207849999999"/>
  </r>
  <r>
    <x v="29"/>
    <x v="0"/>
    <n v="29.81"/>
    <n v="1"/>
    <x v="1"/>
    <s v="southeast"/>
    <n v="6500.2358999999997"/>
  </r>
  <r>
    <x v="15"/>
    <x v="1"/>
    <n v="31.57"/>
    <n v="3"/>
    <x v="1"/>
    <s v="southeast"/>
    <n v="4837.5823"/>
  </r>
  <r>
    <x v="38"/>
    <x v="0"/>
    <n v="31.16"/>
    <n v="0"/>
    <x v="1"/>
    <s v="northeast"/>
    <n v="3943.5954000000002"/>
  </r>
  <r>
    <x v="26"/>
    <x v="1"/>
    <n v="29.7"/>
    <n v="0"/>
    <x v="1"/>
    <s v="southeast"/>
    <n v="4399.7309999999998"/>
  </r>
  <r>
    <x v="24"/>
    <x v="0"/>
    <n v="31.02"/>
    <n v="0"/>
    <x v="1"/>
    <s v="southeast"/>
    <n v="6185.3208000000004"/>
  </r>
  <r>
    <x v="36"/>
    <x v="0"/>
    <n v="43.89"/>
    <n v="2"/>
    <x v="0"/>
    <s v="southeast"/>
    <n v="46200.985099999998"/>
  </r>
  <r>
    <x v="39"/>
    <x v="1"/>
    <n v="21.375"/>
    <n v="0"/>
    <x v="1"/>
    <s v="northwest"/>
    <n v="7222.7862500000001"/>
  </r>
  <r>
    <x v="19"/>
    <x v="0"/>
    <n v="40.81"/>
    <n v="3"/>
    <x v="1"/>
    <s v="southeast"/>
    <n v="12485.8009"/>
  </r>
  <r>
    <x v="8"/>
    <x v="1"/>
    <n v="31.35"/>
    <n v="3"/>
    <x v="0"/>
    <s v="northwest"/>
    <n v="46130.5265"/>
  </r>
  <r>
    <x v="12"/>
    <x v="1"/>
    <n v="36.1"/>
    <n v="3"/>
    <x v="1"/>
    <s v="southwest"/>
    <n v="12363.547"/>
  </r>
  <r>
    <x v="41"/>
    <x v="0"/>
    <n v="23.18"/>
    <n v="2"/>
    <x v="1"/>
    <s v="northwest"/>
    <n v="10156.7832"/>
  </r>
  <r>
    <x v="27"/>
    <x v="0"/>
    <n v="17.399999999999999"/>
    <n v="1"/>
    <x v="1"/>
    <s v="southwest"/>
    <n v="2585.2689999999998"/>
  </r>
  <r>
    <x v="0"/>
    <x v="1"/>
    <n v="20.3"/>
    <n v="0"/>
    <x v="1"/>
    <s v="southwest"/>
    <n v="1242.26"/>
  </r>
  <r>
    <x v="46"/>
    <x v="1"/>
    <n v="35.299999999999997"/>
    <n v="2"/>
    <x v="0"/>
    <s v="southwest"/>
    <n v="40103.89"/>
  </r>
  <r>
    <x v="31"/>
    <x v="1"/>
    <n v="24.32"/>
    <n v="0"/>
    <x v="1"/>
    <s v="northwest"/>
    <n v="9863.4717999999993"/>
  </r>
  <r>
    <x v="3"/>
    <x v="0"/>
    <n v="18.5"/>
    <n v="1"/>
    <x v="1"/>
    <s v="southwest"/>
    <n v="4766.0219999999999"/>
  </r>
  <r>
    <x v="31"/>
    <x v="1"/>
    <n v="26.41"/>
    <n v="2"/>
    <x v="1"/>
    <s v="northeast"/>
    <n v="11244.376899999999"/>
  </r>
  <r>
    <x v="44"/>
    <x v="1"/>
    <n v="26.125"/>
    <n v="2"/>
    <x v="1"/>
    <s v="northeast"/>
    <n v="7729.6457499999997"/>
  </r>
  <r>
    <x v="29"/>
    <x v="1"/>
    <n v="41.69"/>
    <n v="0"/>
    <x v="1"/>
    <s v="southeast"/>
    <n v="5438.7491"/>
  </r>
  <r>
    <x v="42"/>
    <x v="0"/>
    <n v="24.1"/>
    <n v="1"/>
    <x v="1"/>
    <s v="southwest"/>
    <n v="26236.579969999999"/>
  </r>
  <r>
    <x v="13"/>
    <x v="1"/>
    <n v="31.13"/>
    <n v="1"/>
    <x v="0"/>
    <s v="southeast"/>
    <n v="34806.467700000001"/>
  </r>
  <r>
    <x v="27"/>
    <x v="1"/>
    <n v="27.36"/>
    <n v="0"/>
    <x v="1"/>
    <s v="northeast"/>
    <n v="2104.1134000000002"/>
  </r>
  <r>
    <x v="42"/>
    <x v="1"/>
    <n v="36.200000000000003"/>
    <n v="1"/>
    <x v="1"/>
    <s v="southwest"/>
    <n v="8068.1850000000004"/>
  </r>
  <r>
    <x v="34"/>
    <x v="1"/>
    <n v="32.395000000000003"/>
    <n v="1"/>
    <x v="1"/>
    <s v="northwest"/>
    <n v="2362.2290499999999"/>
  </r>
  <r>
    <x v="23"/>
    <x v="1"/>
    <n v="23.655000000000001"/>
    <n v="0"/>
    <x v="1"/>
    <s v="northwest"/>
    <n v="2352.9684499999998"/>
  </r>
  <r>
    <x v="13"/>
    <x v="0"/>
    <n v="34.799999999999997"/>
    <n v="1"/>
    <x v="1"/>
    <s v="southwest"/>
    <n v="3577.9989999999998"/>
  </r>
  <r>
    <x v="21"/>
    <x v="0"/>
    <n v="40.185000000000002"/>
    <n v="0"/>
    <x v="1"/>
    <s v="northwest"/>
    <n v="3201.2451500000002"/>
  </r>
  <r>
    <x v="31"/>
    <x v="0"/>
    <n v="32.299999999999997"/>
    <n v="2"/>
    <x v="1"/>
    <s v="northeast"/>
    <n v="29186.482360000002"/>
  </r>
  <r>
    <x v="24"/>
    <x v="1"/>
    <n v="35.75"/>
    <n v="1"/>
    <x v="0"/>
    <s v="southeast"/>
    <n v="40273.645499999999"/>
  </r>
  <r>
    <x v="12"/>
    <x v="1"/>
    <n v="33.725000000000001"/>
    <n v="0"/>
    <x v="1"/>
    <s v="northwest"/>
    <n v="10976.24575"/>
  </r>
  <r>
    <x v="11"/>
    <x v="0"/>
    <n v="39.270000000000003"/>
    <n v="2"/>
    <x v="1"/>
    <s v="southeast"/>
    <n v="3500.6122999999998"/>
  </r>
  <r>
    <x v="27"/>
    <x v="0"/>
    <n v="34.869999999999997"/>
    <n v="0"/>
    <x v="1"/>
    <s v="southeast"/>
    <n v="2020.5523000000001"/>
  </r>
  <r>
    <x v="45"/>
    <x v="0"/>
    <n v="44.744999999999997"/>
    <n v="0"/>
    <x v="1"/>
    <s v="northeast"/>
    <n v="9541.6955500000004"/>
  </r>
  <r>
    <x v="31"/>
    <x v="1"/>
    <n v="41.47"/>
    <n v="0"/>
    <x v="1"/>
    <s v="southeast"/>
    <n v="9504.3102999999992"/>
  </r>
  <r>
    <x v="16"/>
    <x v="0"/>
    <n v="26.41"/>
    <n v="1"/>
    <x v="1"/>
    <s v="northwest"/>
    <n v="5385.3379000000004"/>
  </r>
  <r>
    <x v="42"/>
    <x v="0"/>
    <n v="29.545000000000002"/>
    <n v="1"/>
    <x v="1"/>
    <s v="northwest"/>
    <n v="8930.9345499999999"/>
  </r>
  <r>
    <x v="3"/>
    <x v="0"/>
    <n v="32.9"/>
    <n v="2"/>
    <x v="1"/>
    <s v="southwest"/>
    <n v="5375.0379999999996"/>
  </r>
  <r>
    <x v="43"/>
    <x v="0"/>
    <n v="38.06"/>
    <n v="0"/>
    <x v="0"/>
    <s v="southeast"/>
    <n v="44400.4064"/>
  </r>
  <r>
    <x v="41"/>
    <x v="1"/>
    <n v="28.69"/>
    <n v="3"/>
    <x v="1"/>
    <s v="northwest"/>
    <n v="10264.4421"/>
  </r>
  <r>
    <x v="5"/>
    <x v="0"/>
    <n v="30.495000000000001"/>
    <n v="3"/>
    <x v="1"/>
    <s v="northeast"/>
    <n v="6113.2310500000003"/>
  </r>
  <r>
    <x v="26"/>
    <x v="0"/>
    <n v="27.74"/>
    <n v="0"/>
    <x v="1"/>
    <s v="northeast"/>
    <n v="5469.0065999999997"/>
  </r>
  <r>
    <x v="1"/>
    <x v="1"/>
    <n v="35.200000000000003"/>
    <n v="1"/>
    <x v="1"/>
    <s v="southeast"/>
    <n v="1727.54"/>
  </r>
  <r>
    <x v="45"/>
    <x v="0"/>
    <n v="23.54"/>
    <n v="2"/>
    <x v="1"/>
    <s v="southeast"/>
    <n v="10107.220600000001"/>
  </r>
  <r>
    <x v="32"/>
    <x v="0"/>
    <n v="30.684999999999999"/>
    <n v="2"/>
    <x v="1"/>
    <s v="northwest"/>
    <n v="8310.8391499999998"/>
  </r>
  <r>
    <x v="34"/>
    <x v="1"/>
    <n v="40.47"/>
    <n v="0"/>
    <x v="1"/>
    <s v="northeast"/>
    <n v="1984.4532999999999"/>
  </r>
  <r>
    <x v="23"/>
    <x v="0"/>
    <n v="22.6"/>
    <n v="0"/>
    <x v="1"/>
    <s v="southwest"/>
    <n v="2457.502"/>
  </r>
  <r>
    <x v="8"/>
    <x v="1"/>
    <n v="28.9"/>
    <n v="0"/>
    <x v="1"/>
    <s v="southwest"/>
    <n v="12146.971"/>
  </r>
  <r>
    <x v="41"/>
    <x v="0"/>
    <n v="22.61"/>
    <n v="1"/>
    <x v="1"/>
    <s v="northwest"/>
    <n v="9566.9909000000007"/>
  </r>
  <r>
    <x v="8"/>
    <x v="1"/>
    <n v="24.32"/>
    <n v="1"/>
    <x v="1"/>
    <s v="northwest"/>
    <n v="13112.604799999999"/>
  </r>
  <r>
    <x v="43"/>
    <x v="0"/>
    <n v="36.67"/>
    <n v="2"/>
    <x v="1"/>
    <s v="northwest"/>
    <n v="10848.1343"/>
  </r>
  <r>
    <x v="30"/>
    <x v="0"/>
    <n v="33.44"/>
    <n v="0"/>
    <x v="1"/>
    <s v="northwest"/>
    <n v="12231.613600000001"/>
  </r>
  <r>
    <x v="43"/>
    <x v="0"/>
    <n v="40.659999999999997"/>
    <n v="0"/>
    <x v="1"/>
    <s v="northeast"/>
    <n v="9875.6803999999993"/>
  </r>
  <r>
    <x v="31"/>
    <x v="1"/>
    <n v="36.6"/>
    <n v="3"/>
    <x v="1"/>
    <s v="southwest"/>
    <n v="11264.540999999999"/>
  </r>
  <r>
    <x v="10"/>
    <x v="1"/>
    <n v="37.4"/>
    <n v="0"/>
    <x v="1"/>
    <s v="southwest"/>
    <n v="12979.358"/>
  </r>
  <r>
    <x v="0"/>
    <x v="1"/>
    <n v="35.4"/>
    <n v="0"/>
    <x v="1"/>
    <s v="southwest"/>
    <n v="1263.249"/>
  </r>
  <r>
    <x v="45"/>
    <x v="0"/>
    <n v="27.074999999999999"/>
    <n v="1"/>
    <x v="1"/>
    <s v="northeast"/>
    <n v="10106.134249999999"/>
  </r>
  <r>
    <x v="15"/>
    <x v="0"/>
    <n v="39.049999999999997"/>
    <n v="3"/>
    <x v="0"/>
    <s v="southeast"/>
    <n v="40932.429499999998"/>
  </r>
  <r>
    <x v="24"/>
    <x v="1"/>
    <n v="28.405000000000001"/>
    <n v="1"/>
    <x v="1"/>
    <s v="northwest"/>
    <n v="6664.68595"/>
  </r>
  <r>
    <x v="38"/>
    <x v="0"/>
    <n v="21.754999999999999"/>
    <n v="1"/>
    <x v="0"/>
    <s v="northeast"/>
    <n v="16657.71745"/>
  </r>
  <r>
    <x v="1"/>
    <x v="0"/>
    <n v="40.28"/>
    <n v="0"/>
    <x v="1"/>
    <s v="northeast"/>
    <n v="2217.6012000000001"/>
  </r>
  <r>
    <x v="24"/>
    <x v="0"/>
    <n v="36.08"/>
    <n v="1"/>
    <x v="1"/>
    <s v="southeast"/>
    <n v="6781.3541999999998"/>
  </r>
  <r>
    <x v="22"/>
    <x v="1"/>
    <n v="24.42"/>
    <n v="3"/>
    <x v="0"/>
    <s v="southeast"/>
    <n v="19361.998800000001"/>
  </r>
  <r>
    <x v="31"/>
    <x v="1"/>
    <n v="21.4"/>
    <n v="1"/>
    <x v="1"/>
    <s v="southwest"/>
    <n v="10065.413"/>
  </r>
  <r>
    <x v="23"/>
    <x v="0"/>
    <n v="30.1"/>
    <n v="3"/>
    <x v="1"/>
    <s v="southwest"/>
    <n v="4234.9269999999997"/>
  </r>
  <r>
    <x v="28"/>
    <x v="0"/>
    <n v="27.265000000000001"/>
    <n v="1"/>
    <x v="1"/>
    <s v="northeast"/>
    <n v="9447.2503500000003"/>
  </r>
  <r>
    <x v="17"/>
    <x v="0"/>
    <n v="32.1"/>
    <n v="3"/>
    <x v="1"/>
    <s v="southwest"/>
    <n v="14007.222"/>
  </r>
  <r>
    <x v="41"/>
    <x v="0"/>
    <n v="34.770000000000003"/>
    <n v="1"/>
    <x v="1"/>
    <s v="northwest"/>
    <n v="9583.8932999999997"/>
  </r>
  <r>
    <x v="7"/>
    <x v="0"/>
    <n v="38.39"/>
    <n v="0"/>
    <x v="0"/>
    <s v="southeast"/>
    <n v="40419.019099999998"/>
  </r>
  <r>
    <x v="21"/>
    <x v="1"/>
    <n v="23.7"/>
    <n v="2"/>
    <x v="1"/>
    <s v="southwest"/>
    <n v="3484.3310000000001"/>
  </r>
  <r>
    <x v="11"/>
    <x v="1"/>
    <n v="31.73"/>
    <n v="3"/>
    <x v="0"/>
    <s v="northeast"/>
    <n v="36189.101699999999"/>
  </r>
  <r>
    <x v="38"/>
    <x v="1"/>
    <n v="35.5"/>
    <n v="2"/>
    <x v="0"/>
    <s v="southwest"/>
    <n v="44585.455869999998"/>
  </r>
  <r>
    <x v="39"/>
    <x v="1"/>
    <n v="24.035"/>
    <n v="2"/>
    <x v="1"/>
    <s v="northeast"/>
    <n v="8604.4836500000001"/>
  </r>
  <r>
    <x v="13"/>
    <x v="1"/>
    <n v="29.15"/>
    <n v="0"/>
    <x v="0"/>
    <s v="southeast"/>
    <n v="18246.495500000001"/>
  </r>
  <r>
    <x v="31"/>
    <x v="1"/>
    <n v="34.104999999999997"/>
    <n v="0"/>
    <x v="0"/>
    <s v="northeast"/>
    <n v="43254.417950000003"/>
  </r>
  <r>
    <x v="5"/>
    <x v="0"/>
    <n v="26.62"/>
    <n v="0"/>
    <x v="1"/>
    <s v="southeast"/>
    <n v="3757.8447999999999"/>
  </r>
  <r>
    <x v="45"/>
    <x v="1"/>
    <n v="26.41"/>
    <n v="0"/>
    <x v="1"/>
    <s v="northwest"/>
    <n v="8827.2098999999998"/>
  </r>
  <r>
    <x v="45"/>
    <x v="0"/>
    <n v="30.114999999999998"/>
    <n v="1"/>
    <x v="1"/>
    <s v="northwest"/>
    <n v="9910.3598500000007"/>
  </r>
  <r>
    <x v="16"/>
    <x v="1"/>
    <n v="27"/>
    <n v="2"/>
    <x v="1"/>
    <s v="southwest"/>
    <n v="11737.848840000001"/>
  </r>
  <r>
    <x v="0"/>
    <x v="1"/>
    <n v="21.754999999999999"/>
    <n v="0"/>
    <x v="1"/>
    <s v="northwest"/>
    <n v="1627.2824499999999"/>
  </r>
  <r>
    <x v="42"/>
    <x v="0"/>
    <n v="36"/>
    <n v="1"/>
    <x v="1"/>
    <s v="southwest"/>
    <n v="8556.9069999999992"/>
  </r>
  <r>
    <x v="2"/>
    <x v="1"/>
    <n v="30.875"/>
    <n v="0"/>
    <x v="1"/>
    <s v="northwest"/>
    <n v="3062.5082499999999"/>
  </r>
  <r>
    <x v="7"/>
    <x v="0"/>
    <n v="26.4"/>
    <n v="0"/>
    <x v="0"/>
    <s v="southeast"/>
    <n v="19539.242999999999"/>
  </r>
  <r>
    <x v="27"/>
    <x v="1"/>
    <n v="28.975000000000001"/>
    <n v="0"/>
    <x v="1"/>
    <s v="northwest"/>
    <n v="1906.35825"/>
  </r>
  <r>
    <x v="33"/>
    <x v="1"/>
    <n v="37.905000000000001"/>
    <n v="0"/>
    <x v="1"/>
    <s v="northwest"/>
    <n v="14210.53595"/>
  </r>
  <r>
    <x v="30"/>
    <x v="0"/>
    <n v="22.77"/>
    <n v="0"/>
    <x v="1"/>
    <s v="southeast"/>
    <n v="11833.782300000001"/>
  </r>
  <r>
    <x v="23"/>
    <x v="1"/>
    <n v="33.630000000000003"/>
    <n v="4"/>
    <x v="1"/>
    <s v="northeast"/>
    <n v="17128.426080000001"/>
  </r>
  <r>
    <x v="5"/>
    <x v="1"/>
    <n v="27.645"/>
    <n v="2"/>
    <x v="1"/>
    <s v="northeast"/>
    <n v="5031.26955"/>
  </r>
  <r>
    <x v="46"/>
    <x v="0"/>
    <n v="22.8"/>
    <n v="3"/>
    <x v="1"/>
    <s v="northeast"/>
    <n v="7985.8149999999996"/>
  </r>
  <r>
    <x v="42"/>
    <x v="0"/>
    <n v="27.83"/>
    <n v="0"/>
    <x v="0"/>
    <s v="southeast"/>
    <n v="23065.420699999999"/>
  </r>
  <r>
    <x v="15"/>
    <x v="1"/>
    <n v="37.43"/>
    <n v="3"/>
    <x v="1"/>
    <s v="northeast"/>
    <n v="5428.7277000000004"/>
  </r>
  <r>
    <x v="1"/>
    <x v="1"/>
    <n v="38.17"/>
    <n v="0"/>
    <x v="0"/>
    <s v="southeast"/>
    <n v="36307.798300000002"/>
  </r>
  <r>
    <x v="20"/>
    <x v="0"/>
    <n v="34.58"/>
    <n v="2"/>
    <x v="1"/>
    <s v="northeast"/>
    <n v="3925.7582000000002"/>
  </r>
  <r>
    <x v="11"/>
    <x v="1"/>
    <n v="35.200000000000003"/>
    <n v="1"/>
    <x v="1"/>
    <s v="southwest"/>
    <n v="2416.9549999999999"/>
  </r>
  <r>
    <x v="3"/>
    <x v="1"/>
    <n v="27.1"/>
    <n v="1"/>
    <x v="0"/>
    <s v="southwest"/>
    <n v="19040.876"/>
  </r>
  <r>
    <x v="13"/>
    <x v="1"/>
    <n v="26.03"/>
    <n v="0"/>
    <x v="1"/>
    <s v="northeast"/>
    <n v="3070.8087"/>
  </r>
  <r>
    <x v="39"/>
    <x v="0"/>
    <n v="25.175000000000001"/>
    <n v="2"/>
    <x v="1"/>
    <s v="northeast"/>
    <n v="9095.0682500000003"/>
  </r>
  <r>
    <x v="37"/>
    <x v="0"/>
    <n v="31.824999999999999"/>
    <n v="0"/>
    <x v="1"/>
    <s v="northwest"/>
    <n v="11842.623750000001"/>
  </r>
  <r>
    <x v="42"/>
    <x v="1"/>
    <n v="32.299999999999997"/>
    <n v="1"/>
    <x v="1"/>
    <s v="southwest"/>
    <n v="8062.7640000000001"/>
  </r>
  <r>
    <x v="44"/>
    <x v="0"/>
    <n v="29"/>
    <n v="1"/>
    <x v="1"/>
    <s v="southwest"/>
    <n v="7050.6419999999998"/>
  </r>
  <r>
    <x v="33"/>
    <x v="0"/>
    <n v="39.700000000000003"/>
    <n v="0"/>
    <x v="1"/>
    <s v="southwest"/>
    <n v="14319.031000000001"/>
  </r>
  <r>
    <x v="25"/>
    <x v="0"/>
    <n v="19.475000000000001"/>
    <n v="2"/>
    <x v="1"/>
    <s v="northwest"/>
    <n v="6933.2422500000002"/>
  </r>
  <r>
    <x v="35"/>
    <x v="1"/>
    <n v="36.1"/>
    <n v="3"/>
    <x v="1"/>
    <s v="southwest"/>
    <n v="27941.28758"/>
  </r>
  <r>
    <x v="31"/>
    <x v="0"/>
    <n v="26.7"/>
    <n v="2"/>
    <x v="1"/>
    <s v="southwest"/>
    <n v="11150.78"/>
  </r>
  <r>
    <x v="36"/>
    <x v="0"/>
    <n v="36.479999999999997"/>
    <n v="0"/>
    <x v="1"/>
    <s v="northeast"/>
    <n v="12797.20962"/>
  </r>
  <r>
    <x v="0"/>
    <x v="0"/>
    <n v="28.88"/>
    <n v="0"/>
    <x v="0"/>
    <s v="northwest"/>
    <n v="17748.5062"/>
  </r>
  <r>
    <x v="24"/>
    <x v="1"/>
    <n v="34.200000000000003"/>
    <n v="2"/>
    <x v="1"/>
    <s v="northwest"/>
    <n v="7261.741"/>
  </r>
  <r>
    <x v="43"/>
    <x v="1"/>
    <n v="33.33"/>
    <n v="3"/>
    <x v="1"/>
    <s v="southeast"/>
    <n v="10560.4917"/>
  </r>
  <r>
    <x v="29"/>
    <x v="1"/>
    <n v="32.299999999999997"/>
    <n v="2"/>
    <x v="1"/>
    <s v="northwest"/>
    <n v="6986.6970000000001"/>
  </r>
  <r>
    <x v="39"/>
    <x v="1"/>
    <n v="39.805"/>
    <n v="0"/>
    <x v="1"/>
    <s v="northeast"/>
    <n v="7448.4039499999999"/>
  </r>
  <r>
    <x v="22"/>
    <x v="1"/>
    <n v="34.32"/>
    <n v="3"/>
    <x v="1"/>
    <s v="southeast"/>
    <n v="5934.3797999999997"/>
  </r>
  <r>
    <x v="31"/>
    <x v="1"/>
    <n v="28.88"/>
    <n v="0"/>
    <x v="1"/>
    <s v="northwest"/>
    <n v="9869.8101999999999"/>
  </r>
  <r>
    <x v="15"/>
    <x v="1"/>
    <n v="24.4"/>
    <n v="3"/>
    <x v="0"/>
    <s v="southwest"/>
    <n v="18259.216"/>
  </r>
  <r>
    <x v="1"/>
    <x v="1"/>
    <n v="41.14"/>
    <n v="0"/>
    <x v="1"/>
    <s v="southeast"/>
    <n v="1146.7965999999999"/>
  </r>
  <r>
    <x v="43"/>
    <x v="1"/>
    <n v="35.97"/>
    <n v="1"/>
    <x v="1"/>
    <s v="southeast"/>
    <n v="9386.1612999999998"/>
  </r>
  <r>
    <x v="45"/>
    <x v="0"/>
    <n v="27.6"/>
    <n v="1"/>
    <x v="0"/>
    <s v="southwest"/>
    <n v="24520.263999999999"/>
  </r>
  <r>
    <x v="5"/>
    <x v="0"/>
    <n v="29.26"/>
    <n v="1"/>
    <x v="1"/>
    <s v="southeast"/>
    <n v="4350.5144"/>
  </r>
  <r>
    <x v="22"/>
    <x v="0"/>
    <n v="27.7"/>
    <n v="3"/>
    <x v="1"/>
    <s v="southwest"/>
    <n v="6414.1779999999999"/>
  </r>
  <r>
    <x v="8"/>
    <x v="1"/>
    <n v="36.954999999999998"/>
    <n v="0"/>
    <x v="1"/>
    <s v="northeast"/>
    <n v="12741.167450000001"/>
  </r>
  <r>
    <x v="27"/>
    <x v="1"/>
    <n v="36.86"/>
    <n v="0"/>
    <x v="1"/>
    <s v="northwest"/>
    <n v="1917.3184000000001"/>
  </r>
  <r>
    <x v="38"/>
    <x v="1"/>
    <n v="22.515000000000001"/>
    <n v="3"/>
    <x v="1"/>
    <s v="northeast"/>
    <n v="5209.5788499999999"/>
  </r>
  <r>
    <x v="10"/>
    <x v="0"/>
    <n v="29.92"/>
    <n v="0"/>
    <x v="1"/>
    <s v="southeast"/>
    <n v="13457.960800000001"/>
  </r>
  <r>
    <x v="46"/>
    <x v="0"/>
    <n v="41.8"/>
    <n v="0"/>
    <x v="1"/>
    <s v="southeast"/>
    <n v="5662.2250000000004"/>
  </r>
  <r>
    <x v="0"/>
    <x v="1"/>
    <n v="27.6"/>
    <n v="0"/>
    <x v="1"/>
    <s v="southwest"/>
    <n v="1252.4069999999999"/>
  </r>
  <r>
    <x v="20"/>
    <x v="0"/>
    <n v="23.18"/>
    <n v="0"/>
    <x v="1"/>
    <s v="northeast"/>
    <n v="2731.9122000000002"/>
  </r>
  <r>
    <x v="31"/>
    <x v="1"/>
    <n v="20.9"/>
    <n v="0"/>
    <x v="0"/>
    <s v="southeast"/>
    <n v="21195.817999999999"/>
  </r>
  <r>
    <x v="46"/>
    <x v="0"/>
    <n v="31.92"/>
    <n v="2"/>
    <x v="1"/>
    <s v="northwest"/>
    <n v="7209.4917999999998"/>
  </r>
  <r>
    <x v="13"/>
    <x v="1"/>
    <n v="28.5"/>
    <n v="0"/>
    <x v="0"/>
    <s v="northwest"/>
    <n v="18310.741999999998"/>
  </r>
  <r>
    <x v="15"/>
    <x v="1"/>
    <n v="44.22"/>
    <n v="2"/>
    <x v="1"/>
    <s v="southeast"/>
    <n v="4266.1657999999998"/>
  </r>
  <r>
    <x v="15"/>
    <x v="0"/>
    <n v="22.895"/>
    <n v="1"/>
    <x v="1"/>
    <s v="northeast"/>
    <n v="4719.52405"/>
  </r>
  <r>
    <x v="30"/>
    <x v="0"/>
    <n v="33.1"/>
    <n v="0"/>
    <x v="1"/>
    <s v="southwest"/>
    <n v="11848.141"/>
  </r>
  <r>
    <x v="3"/>
    <x v="1"/>
    <n v="24.795000000000002"/>
    <n v="0"/>
    <x v="0"/>
    <s v="northeast"/>
    <n v="17904.527050000001"/>
  </r>
  <r>
    <x v="44"/>
    <x v="0"/>
    <n v="26.18"/>
    <n v="1"/>
    <x v="1"/>
    <s v="southeast"/>
    <n v="7046.7222000000002"/>
  </r>
  <r>
    <x v="33"/>
    <x v="0"/>
    <n v="35.97"/>
    <n v="0"/>
    <x v="1"/>
    <s v="southeast"/>
    <n v="14313.846299999999"/>
  </r>
  <r>
    <x v="27"/>
    <x v="1"/>
    <n v="22.3"/>
    <n v="1"/>
    <x v="1"/>
    <s v="southwest"/>
    <n v="2103.08"/>
  </r>
  <r>
    <x v="1"/>
    <x v="0"/>
    <n v="42.24"/>
    <n v="0"/>
    <x v="0"/>
    <s v="southeast"/>
    <n v="38792.685599999997"/>
  </r>
  <r>
    <x v="11"/>
    <x v="1"/>
    <n v="26.51"/>
    <n v="0"/>
    <x v="1"/>
    <s v="southeast"/>
    <n v="1815.8759"/>
  </r>
  <r>
    <x v="39"/>
    <x v="0"/>
    <n v="35.814999999999998"/>
    <n v="0"/>
    <x v="1"/>
    <s v="northwest"/>
    <n v="7731.8578500000003"/>
  </r>
  <r>
    <x v="29"/>
    <x v="0"/>
    <n v="41.42"/>
    <n v="1"/>
    <x v="1"/>
    <s v="northwest"/>
    <n v="28476.734990000001"/>
  </r>
  <r>
    <x v="0"/>
    <x v="0"/>
    <n v="36.575000000000003"/>
    <n v="0"/>
    <x v="1"/>
    <s v="northwest"/>
    <n v="2136.8822500000001"/>
  </r>
  <r>
    <x v="1"/>
    <x v="1"/>
    <n v="30.14"/>
    <n v="0"/>
    <x v="1"/>
    <s v="southeast"/>
    <n v="1131.5065999999999"/>
  </r>
  <r>
    <x v="9"/>
    <x v="1"/>
    <n v="25.84"/>
    <n v="1"/>
    <x v="1"/>
    <s v="northeast"/>
    <n v="3309.7926000000002"/>
  </r>
  <r>
    <x v="6"/>
    <x v="0"/>
    <n v="30.8"/>
    <n v="3"/>
    <x v="1"/>
    <s v="southwest"/>
    <n v="9414.92"/>
  </r>
  <r>
    <x v="3"/>
    <x v="0"/>
    <n v="42.94"/>
    <n v="3"/>
    <x v="1"/>
    <s v="northwest"/>
    <n v="6360.9935999999998"/>
  </r>
  <r>
    <x v="40"/>
    <x v="1"/>
    <n v="21.01"/>
    <n v="2"/>
    <x v="1"/>
    <s v="southeast"/>
    <n v="11013.7119"/>
  </r>
  <r>
    <x v="2"/>
    <x v="1"/>
    <n v="22.515000000000001"/>
    <n v="2"/>
    <x v="1"/>
    <s v="northeast"/>
    <n v="4428.8878500000001"/>
  </r>
  <r>
    <x v="26"/>
    <x v="1"/>
    <n v="34.43"/>
    <n v="2"/>
    <x v="1"/>
    <s v="southeast"/>
    <n v="5584.3056999999999"/>
  </r>
  <r>
    <x v="34"/>
    <x v="0"/>
    <n v="31.46"/>
    <n v="0"/>
    <x v="1"/>
    <s v="southeast"/>
    <n v="1877.9294"/>
  </r>
  <r>
    <x v="23"/>
    <x v="0"/>
    <n v="24.225000000000001"/>
    <n v="0"/>
    <x v="1"/>
    <s v="northwest"/>
    <n v="2842.7607499999999"/>
  </r>
  <r>
    <x v="11"/>
    <x v="1"/>
    <n v="37.1"/>
    <n v="3"/>
    <x v="1"/>
    <s v="southwest"/>
    <n v="3597.596"/>
  </r>
  <r>
    <x v="42"/>
    <x v="0"/>
    <n v="26.125"/>
    <n v="1"/>
    <x v="0"/>
    <s v="northeast"/>
    <n v="23401.30575"/>
  </r>
  <r>
    <x v="3"/>
    <x v="0"/>
    <n v="35.53"/>
    <n v="0"/>
    <x v="0"/>
    <s v="northwest"/>
    <n v="55135.402090000003"/>
  </r>
  <r>
    <x v="39"/>
    <x v="1"/>
    <n v="33.700000000000003"/>
    <n v="1"/>
    <x v="1"/>
    <s v="southwest"/>
    <n v="7445.9179999999997"/>
  </r>
  <r>
    <x v="21"/>
    <x v="1"/>
    <n v="17.670000000000002"/>
    <n v="0"/>
    <x v="1"/>
    <s v="northwest"/>
    <n v="2680.9493000000002"/>
  </r>
  <r>
    <x v="1"/>
    <x v="0"/>
    <n v="31.13"/>
    <n v="0"/>
    <x v="1"/>
    <s v="southeast"/>
    <n v="1621.8827000000001"/>
  </r>
  <r>
    <x v="36"/>
    <x v="0"/>
    <n v="29.81"/>
    <n v="2"/>
    <x v="1"/>
    <s v="southeast"/>
    <n v="8219.2039000000004"/>
  </r>
  <r>
    <x v="8"/>
    <x v="1"/>
    <n v="24.32"/>
    <n v="0"/>
    <x v="1"/>
    <s v="northwest"/>
    <n v="12523.604799999999"/>
  </r>
  <r>
    <x v="33"/>
    <x v="0"/>
    <n v="31.824999999999999"/>
    <n v="2"/>
    <x v="1"/>
    <s v="northeast"/>
    <n v="16069.08475"/>
  </r>
  <r>
    <x v="12"/>
    <x v="1"/>
    <n v="31.79"/>
    <n v="2"/>
    <x v="0"/>
    <s v="southeast"/>
    <n v="43813.866099999999"/>
  </r>
  <r>
    <x v="26"/>
    <x v="1"/>
    <n v="28.024999999999999"/>
    <n v="1"/>
    <x v="0"/>
    <s v="northeast"/>
    <n v="20773.62775"/>
  </r>
  <r>
    <x v="24"/>
    <x v="1"/>
    <n v="30.78"/>
    <n v="3"/>
    <x v="0"/>
    <s v="northeast"/>
    <n v="39597.407200000001"/>
  </r>
  <r>
    <x v="46"/>
    <x v="1"/>
    <n v="21.85"/>
    <n v="1"/>
    <x v="1"/>
    <s v="northwest"/>
    <n v="6117.4944999999998"/>
  </r>
  <r>
    <x v="18"/>
    <x v="1"/>
    <n v="33.1"/>
    <n v="0"/>
    <x v="1"/>
    <s v="southwest"/>
    <n v="13393.755999999999"/>
  </r>
  <r>
    <x v="26"/>
    <x v="0"/>
    <n v="25.84"/>
    <n v="0"/>
    <x v="1"/>
    <s v="northwest"/>
    <n v="5266.3656000000001"/>
  </r>
  <r>
    <x v="2"/>
    <x v="0"/>
    <n v="23.844999999999999"/>
    <n v="2"/>
    <x v="1"/>
    <s v="northwest"/>
    <n v="4719.7365499999996"/>
  </r>
  <r>
    <x v="30"/>
    <x v="1"/>
    <n v="34.39"/>
    <n v="0"/>
    <x v="1"/>
    <s v="northwest"/>
    <n v="11743.9341"/>
  </r>
  <r>
    <x v="26"/>
    <x v="1"/>
    <n v="33.82"/>
    <n v="1"/>
    <x v="1"/>
    <s v="northwest"/>
    <n v="5377.4578000000001"/>
  </r>
  <r>
    <x v="44"/>
    <x v="1"/>
    <n v="35.97"/>
    <n v="2"/>
    <x v="1"/>
    <s v="southeast"/>
    <n v="7160.3302999999996"/>
  </r>
  <r>
    <x v="26"/>
    <x v="1"/>
    <n v="31.5"/>
    <n v="0"/>
    <x v="1"/>
    <s v="southwest"/>
    <n v="4402.2330000000002"/>
  </r>
  <r>
    <x v="12"/>
    <x v="0"/>
    <n v="28.31"/>
    <n v="0"/>
    <x v="1"/>
    <s v="northeast"/>
    <n v="11657.7189"/>
  </r>
  <r>
    <x v="22"/>
    <x v="0"/>
    <n v="23.465"/>
    <n v="2"/>
    <x v="1"/>
    <s v="northeast"/>
    <n v="6402.2913500000004"/>
  </r>
  <r>
    <x v="17"/>
    <x v="0"/>
    <n v="31.35"/>
    <n v="0"/>
    <x v="1"/>
    <s v="northwest"/>
    <n v="12622.1795"/>
  </r>
  <r>
    <x v="27"/>
    <x v="1"/>
    <n v="31.1"/>
    <n v="0"/>
    <x v="1"/>
    <s v="southwest"/>
    <n v="1526.3119999999999"/>
  </r>
  <r>
    <x v="17"/>
    <x v="1"/>
    <n v="24.7"/>
    <n v="0"/>
    <x v="1"/>
    <s v="northeast"/>
    <n v="12323.936"/>
  </r>
  <r>
    <x v="11"/>
    <x v="0"/>
    <n v="32.78"/>
    <n v="2"/>
    <x v="0"/>
    <s v="southeast"/>
    <n v="36021.011200000001"/>
  </r>
  <r>
    <x v="37"/>
    <x v="0"/>
    <n v="29.81"/>
    <n v="0"/>
    <x v="0"/>
    <s v="southeast"/>
    <n v="27533.912899999999"/>
  </r>
  <r>
    <x v="31"/>
    <x v="1"/>
    <n v="30.495000000000001"/>
    <n v="0"/>
    <x v="1"/>
    <s v="northeast"/>
    <n v="10072.055050000001"/>
  </r>
  <r>
    <x v="8"/>
    <x v="0"/>
    <n v="32.450000000000003"/>
    <n v="0"/>
    <x v="0"/>
    <s v="southeast"/>
    <n v="45008.955499999996"/>
  </r>
  <r>
    <x v="43"/>
    <x v="0"/>
    <n v="34.200000000000003"/>
    <n v="1"/>
    <x v="1"/>
    <s v="southwest"/>
    <n v="9872.7009999999991"/>
  </r>
  <r>
    <x v="11"/>
    <x v="1"/>
    <n v="50.38"/>
    <n v="1"/>
    <x v="1"/>
    <s v="southeast"/>
    <n v="2438.0551999999998"/>
  </r>
  <r>
    <x v="13"/>
    <x v="0"/>
    <n v="24.1"/>
    <n v="0"/>
    <x v="1"/>
    <s v="southwest"/>
    <n v="2974.1260000000002"/>
  </r>
  <r>
    <x v="19"/>
    <x v="1"/>
    <n v="32.774999999999999"/>
    <n v="0"/>
    <x v="1"/>
    <s v="northwest"/>
    <n v="10601.632250000001"/>
  </r>
  <r>
    <x v="7"/>
    <x v="0"/>
    <n v="30.78"/>
    <n v="0"/>
    <x v="0"/>
    <s v="northeast"/>
    <n v="37270.1512"/>
  </r>
  <r>
    <x v="35"/>
    <x v="1"/>
    <n v="32.299999999999997"/>
    <n v="2"/>
    <x v="1"/>
    <s v="northwest"/>
    <n v="14119.62"/>
  </r>
  <r>
    <x v="6"/>
    <x v="0"/>
    <n v="35.53"/>
    <n v="0"/>
    <x v="0"/>
    <s v="northeast"/>
    <n v="42111.664700000001"/>
  </r>
  <r>
    <x v="31"/>
    <x v="0"/>
    <n v="23.75"/>
    <n v="2"/>
    <x v="1"/>
    <s v="northeast"/>
    <n v="11729.6795"/>
  </r>
  <r>
    <x v="41"/>
    <x v="0"/>
    <n v="23.844999999999999"/>
    <n v="3"/>
    <x v="0"/>
    <s v="northeast"/>
    <n v="24106.912550000001"/>
  </r>
  <r>
    <x v="34"/>
    <x v="0"/>
    <n v="29.6"/>
    <n v="0"/>
    <x v="1"/>
    <s v="southwest"/>
    <n v="1875.3440000000001"/>
  </r>
  <r>
    <x v="28"/>
    <x v="0"/>
    <n v="33.11"/>
    <n v="0"/>
    <x v="0"/>
    <s v="southeast"/>
    <n v="40974.164900000003"/>
  </r>
  <r>
    <x v="9"/>
    <x v="1"/>
    <n v="24.13"/>
    <n v="0"/>
    <x v="0"/>
    <s v="northwest"/>
    <n v="15817.985699999999"/>
  </r>
  <r>
    <x v="9"/>
    <x v="0"/>
    <n v="32.229999999999997"/>
    <n v="1"/>
    <x v="1"/>
    <s v="southeast"/>
    <n v="18218.161390000001"/>
  </r>
  <r>
    <x v="37"/>
    <x v="1"/>
    <n v="28.1"/>
    <n v="0"/>
    <x v="1"/>
    <s v="southwest"/>
    <n v="10965.446"/>
  </r>
  <r>
    <x v="7"/>
    <x v="0"/>
    <n v="47.6"/>
    <n v="2"/>
    <x v="0"/>
    <s v="southwest"/>
    <n v="46113.510999999999"/>
  </r>
  <r>
    <x v="25"/>
    <x v="0"/>
    <n v="28"/>
    <n v="3"/>
    <x v="1"/>
    <s v="southwest"/>
    <n v="7151.0919999999996"/>
  </r>
  <r>
    <x v="19"/>
    <x v="0"/>
    <n v="33.534999999999997"/>
    <n v="2"/>
    <x v="1"/>
    <s v="northwest"/>
    <n v="12269.68865"/>
  </r>
  <r>
    <x v="26"/>
    <x v="0"/>
    <n v="19.855"/>
    <n v="0"/>
    <x v="1"/>
    <s v="northeast"/>
    <n v="5458.0464499999998"/>
  </r>
  <r>
    <x v="43"/>
    <x v="1"/>
    <n v="25.4"/>
    <n v="0"/>
    <x v="1"/>
    <s v="southwest"/>
    <n v="8782.4689999999991"/>
  </r>
  <r>
    <x v="29"/>
    <x v="1"/>
    <n v="29.9"/>
    <n v="2"/>
    <x v="1"/>
    <s v="southwest"/>
    <n v="6600.3609999999999"/>
  </r>
  <r>
    <x v="1"/>
    <x v="1"/>
    <n v="37.29"/>
    <n v="0"/>
    <x v="1"/>
    <s v="southeast"/>
    <n v="1141.4450999999999"/>
  </r>
  <r>
    <x v="37"/>
    <x v="1"/>
    <n v="43.7"/>
    <n v="1"/>
    <x v="1"/>
    <s v="southwest"/>
    <n v="11576.13"/>
  </r>
  <r>
    <x v="35"/>
    <x v="1"/>
    <n v="23.655000000000001"/>
    <n v="0"/>
    <x v="1"/>
    <s v="northeast"/>
    <n v="13129.603450000001"/>
  </r>
  <r>
    <x v="9"/>
    <x v="0"/>
    <n v="24.3"/>
    <n v="3"/>
    <x v="1"/>
    <s v="southwest"/>
    <n v="4391.652"/>
  </r>
  <r>
    <x v="45"/>
    <x v="1"/>
    <n v="36.200000000000003"/>
    <n v="0"/>
    <x v="1"/>
    <s v="southwest"/>
    <n v="8457.8179999999993"/>
  </r>
  <r>
    <x v="21"/>
    <x v="0"/>
    <n v="29.48"/>
    <n v="1"/>
    <x v="1"/>
    <s v="southeast"/>
    <n v="3392.3652000000002"/>
  </r>
  <r>
    <x v="44"/>
    <x v="1"/>
    <n v="24.86"/>
    <n v="0"/>
    <x v="1"/>
    <s v="southeast"/>
    <n v="5966.8873999999996"/>
  </r>
  <r>
    <x v="32"/>
    <x v="1"/>
    <n v="30.1"/>
    <n v="1"/>
    <x v="1"/>
    <s v="southwest"/>
    <n v="6849.0259999999998"/>
  </r>
  <r>
    <x v="36"/>
    <x v="1"/>
    <n v="21.85"/>
    <n v="3"/>
    <x v="1"/>
    <s v="northeast"/>
    <n v="8891.1394999999993"/>
  </r>
  <r>
    <x v="11"/>
    <x v="0"/>
    <n v="28.12"/>
    <n v="0"/>
    <x v="1"/>
    <s v="northwest"/>
    <n v="2690.1138000000001"/>
  </r>
  <r>
    <x v="41"/>
    <x v="0"/>
    <n v="27.1"/>
    <n v="1"/>
    <x v="1"/>
    <s v="southwest"/>
    <n v="26140.3603"/>
  </r>
  <r>
    <x v="3"/>
    <x v="1"/>
    <n v="33.44"/>
    <n v="5"/>
    <x v="1"/>
    <s v="southeast"/>
    <n v="6653.7885999999999"/>
  </r>
  <r>
    <x v="24"/>
    <x v="1"/>
    <n v="28.8"/>
    <n v="1"/>
    <x v="1"/>
    <s v="southwest"/>
    <n v="6282.2349999999997"/>
  </r>
  <r>
    <x v="7"/>
    <x v="0"/>
    <n v="29.5"/>
    <n v="2"/>
    <x v="1"/>
    <s v="southwest"/>
    <n v="6311.9520000000002"/>
  </r>
  <r>
    <x v="20"/>
    <x v="1"/>
    <n v="34.799999999999997"/>
    <n v="3"/>
    <x v="1"/>
    <s v="southwest"/>
    <n v="3443.0639999999999"/>
  </r>
  <r>
    <x v="11"/>
    <x v="1"/>
    <n v="27.36"/>
    <n v="1"/>
    <x v="1"/>
    <s v="northwest"/>
    <n v="2789.0574000000001"/>
  </r>
  <r>
    <x v="27"/>
    <x v="0"/>
    <n v="22.135000000000002"/>
    <n v="0"/>
    <x v="1"/>
    <s v="northeast"/>
    <n v="2585.8506499999999"/>
  </r>
  <r>
    <x v="43"/>
    <x v="0"/>
    <n v="37.049999999999997"/>
    <n v="3"/>
    <x v="0"/>
    <s v="northeast"/>
    <n v="46255.112500000003"/>
  </r>
  <r>
    <x v="9"/>
    <x v="1"/>
    <n v="26.695"/>
    <n v="4"/>
    <x v="1"/>
    <s v="northwest"/>
    <n v="4877.9810500000003"/>
  </r>
  <r>
    <x v="4"/>
    <x v="1"/>
    <n v="28.93"/>
    <n v="1"/>
    <x v="0"/>
    <s v="southeast"/>
    <n v="19719.6947"/>
  </r>
  <r>
    <x v="37"/>
    <x v="1"/>
    <n v="28.975000000000001"/>
    <n v="0"/>
    <x v="0"/>
    <s v="northeast"/>
    <n v="27218.437249999999"/>
  </r>
  <r>
    <x v="26"/>
    <x v="0"/>
    <n v="30.02"/>
    <n v="0"/>
    <x v="1"/>
    <s v="northwest"/>
    <n v="5272.1758"/>
  </r>
  <r>
    <x v="20"/>
    <x v="1"/>
    <n v="39.5"/>
    <n v="0"/>
    <x v="1"/>
    <s v="southwest"/>
    <n v="1682.597"/>
  </r>
  <r>
    <x v="37"/>
    <x v="1"/>
    <n v="33.630000000000003"/>
    <n v="1"/>
    <x v="1"/>
    <s v="northwest"/>
    <n v="11945.1327"/>
  </r>
  <r>
    <x v="33"/>
    <x v="0"/>
    <n v="26.885000000000002"/>
    <n v="0"/>
    <x v="0"/>
    <s v="northwest"/>
    <n v="29330.98315"/>
  </r>
  <r>
    <x v="26"/>
    <x v="0"/>
    <n v="29.04"/>
    <n v="4"/>
    <x v="1"/>
    <s v="southeast"/>
    <n v="7243.8136000000004"/>
  </r>
  <r>
    <x v="40"/>
    <x v="1"/>
    <n v="24.035"/>
    <n v="0"/>
    <x v="1"/>
    <s v="northeast"/>
    <n v="10422.916649999999"/>
  </r>
  <r>
    <x v="42"/>
    <x v="1"/>
    <n v="38.94"/>
    <n v="2"/>
    <x v="0"/>
    <s v="southeast"/>
    <n v="44202.653599999998"/>
  </r>
  <r>
    <x v="10"/>
    <x v="1"/>
    <n v="32.11"/>
    <n v="0"/>
    <x v="1"/>
    <s v="northeast"/>
    <n v="13555.0049"/>
  </r>
  <r>
    <x v="35"/>
    <x v="0"/>
    <n v="44"/>
    <n v="0"/>
    <x v="1"/>
    <s v="southwest"/>
    <n v="13063.883"/>
  </r>
  <r>
    <x v="32"/>
    <x v="0"/>
    <n v="20.045000000000002"/>
    <n v="2"/>
    <x v="0"/>
    <s v="northeast"/>
    <n v="19798.054550000001"/>
  </r>
  <r>
    <x v="0"/>
    <x v="1"/>
    <n v="25.555"/>
    <n v="1"/>
    <x v="1"/>
    <s v="northwest"/>
    <n v="2221.5644499999999"/>
  </r>
  <r>
    <x v="1"/>
    <x v="0"/>
    <n v="40.26"/>
    <n v="0"/>
    <x v="1"/>
    <s v="southeast"/>
    <n v="1634.5734"/>
  </r>
  <r>
    <x v="0"/>
    <x v="0"/>
    <n v="22.515000000000001"/>
    <n v="0"/>
    <x v="1"/>
    <s v="northwest"/>
    <n v="2117.3388500000001"/>
  </r>
  <r>
    <x v="41"/>
    <x v="1"/>
    <n v="22.515000000000001"/>
    <n v="0"/>
    <x v="1"/>
    <s v="northeast"/>
    <n v="8688.8588500000005"/>
  </r>
  <r>
    <x v="8"/>
    <x v="1"/>
    <n v="40.92"/>
    <n v="0"/>
    <x v="0"/>
    <s v="southeast"/>
    <n v="48673.558799999999"/>
  </r>
  <r>
    <x v="21"/>
    <x v="1"/>
    <n v="27.265000000000001"/>
    <n v="3"/>
    <x v="1"/>
    <s v="northeast"/>
    <n v="4661.2863500000003"/>
  </r>
  <r>
    <x v="41"/>
    <x v="1"/>
    <n v="36.85"/>
    <n v="0"/>
    <x v="1"/>
    <s v="southeast"/>
    <n v="8125.7844999999998"/>
  </r>
  <r>
    <x v="8"/>
    <x v="0"/>
    <n v="35.1"/>
    <n v="0"/>
    <x v="1"/>
    <s v="southwest"/>
    <n v="12644.589"/>
  </r>
  <r>
    <x v="21"/>
    <x v="0"/>
    <n v="29.355"/>
    <n v="2"/>
    <x v="1"/>
    <s v="northeast"/>
    <n v="4564.1914500000003"/>
  </r>
  <r>
    <x v="13"/>
    <x v="1"/>
    <n v="32.585000000000001"/>
    <n v="3"/>
    <x v="1"/>
    <s v="northeast"/>
    <n v="4846.9201499999999"/>
  </r>
  <r>
    <x v="36"/>
    <x v="0"/>
    <n v="32.340000000000003"/>
    <n v="1"/>
    <x v="1"/>
    <s v="southeast"/>
    <n v="7633.7205999999996"/>
  </r>
  <r>
    <x v="18"/>
    <x v="1"/>
    <n v="39.799999999999997"/>
    <n v="3"/>
    <x v="1"/>
    <s v="southwest"/>
    <n v="15170.069"/>
  </r>
  <r>
    <x v="4"/>
    <x v="0"/>
    <n v="24.6"/>
    <n v="0"/>
    <x v="0"/>
    <s v="southwest"/>
    <n v="17496.306"/>
  </r>
  <r>
    <x v="20"/>
    <x v="1"/>
    <n v="28.31"/>
    <n v="1"/>
    <x v="1"/>
    <s v="northwest"/>
    <n v="2639.0428999999999"/>
  </r>
  <r>
    <x v="1"/>
    <x v="1"/>
    <n v="31.73"/>
    <n v="0"/>
    <x v="0"/>
    <s v="northeast"/>
    <n v="33732.686699999998"/>
  </r>
  <r>
    <x v="17"/>
    <x v="0"/>
    <n v="26.695"/>
    <n v="3"/>
    <x v="1"/>
    <s v="northwest"/>
    <n v="14382.709049999999"/>
  </r>
  <r>
    <x v="36"/>
    <x v="0"/>
    <n v="27.5"/>
    <n v="1"/>
    <x v="1"/>
    <s v="southwest"/>
    <n v="7626.9930000000004"/>
  </r>
  <r>
    <x v="3"/>
    <x v="1"/>
    <n v="24.605"/>
    <n v="2"/>
    <x v="1"/>
    <s v="northwest"/>
    <n v="5257.5079500000002"/>
  </r>
  <r>
    <x v="23"/>
    <x v="0"/>
    <n v="33.99"/>
    <n v="0"/>
    <x v="1"/>
    <s v="southeast"/>
    <n v="2473.3341"/>
  </r>
  <r>
    <x v="32"/>
    <x v="0"/>
    <n v="26.885000000000002"/>
    <n v="0"/>
    <x v="0"/>
    <s v="northwest"/>
    <n v="21774.32215"/>
  </r>
  <r>
    <x v="39"/>
    <x v="1"/>
    <n v="22.895"/>
    <n v="0"/>
    <x v="0"/>
    <s v="northeast"/>
    <n v="35069.374519999998"/>
  </r>
  <r>
    <x v="35"/>
    <x v="0"/>
    <n v="28.2"/>
    <n v="0"/>
    <x v="1"/>
    <s v="southwest"/>
    <n v="13041.921"/>
  </r>
  <r>
    <x v="22"/>
    <x v="0"/>
    <n v="34.21"/>
    <n v="1"/>
    <x v="1"/>
    <s v="southeast"/>
    <n v="5245.2268999999997"/>
  </r>
  <r>
    <x v="10"/>
    <x v="0"/>
    <n v="25"/>
    <n v="0"/>
    <x v="1"/>
    <s v="southwest"/>
    <n v="13451.121999999999"/>
  </r>
  <r>
    <x v="10"/>
    <x v="0"/>
    <n v="33.200000000000003"/>
    <n v="0"/>
    <x v="1"/>
    <s v="southwest"/>
    <n v="13462.52"/>
  </r>
  <r>
    <x v="25"/>
    <x v="1"/>
    <n v="31"/>
    <n v="1"/>
    <x v="1"/>
    <s v="southwest"/>
    <n v="5488.2619999999997"/>
  </r>
  <r>
    <x v="16"/>
    <x v="1"/>
    <n v="35.814999999999998"/>
    <n v="0"/>
    <x v="1"/>
    <s v="northwest"/>
    <n v="4320.4108500000002"/>
  </r>
  <r>
    <x v="32"/>
    <x v="1"/>
    <n v="23.2"/>
    <n v="0"/>
    <x v="1"/>
    <s v="southwest"/>
    <n v="6250.4350000000004"/>
  </r>
  <r>
    <x v="45"/>
    <x v="1"/>
    <n v="32.11"/>
    <n v="2"/>
    <x v="1"/>
    <s v="northeast"/>
    <n v="25333.332839999999"/>
  </r>
  <r>
    <x v="0"/>
    <x v="0"/>
    <n v="23.4"/>
    <n v="2"/>
    <x v="1"/>
    <s v="southwest"/>
    <n v="2913.569"/>
  </r>
  <r>
    <x v="37"/>
    <x v="0"/>
    <n v="20.100000000000001"/>
    <n v="1"/>
    <x v="1"/>
    <s v="southwest"/>
    <n v="12032.325999999999"/>
  </r>
  <r>
    <x v="10"/>
    <x v="0"/>
    <n v="39.159999999999997"/>
    <n v="0"/>
    <x v="1"/>
    <s v="southeast"/>
    <n v="13470.804400000001"/>
  </r>
  <r>
    <x v="24"/>
    <x v="1"/>
    <n v="34.21"/>
    <n v="1"/>
    <x v="1"/>
    <s v="southeast"/>
    <n v="6289.7548999999999"/>
  </r>
  <r>
    <x v="21"/>
    <x v="1"/>
    <n v="46.53"/>
    <n v="1"/>
    <x v="1"/>
    <s v="southeast"/>
    <n v="2927.0646999999999"/>
  </r>
  <r>
    <x v="46"/>
    <x v="0"/>
    <n v="32.5"/>
    <n v="1"/>
    <x v="1"/>
    <s v="southwest"/>
    <n v="6238.2979999999998"/>
  </r>
  <r>
    <x v="6"/>
    <x v="1"/>
    <n v="25.8"/>
    <n v="5"/>
    <x v="1"/>
    <s v="southwest"/>
    <n v="10096.969999999999"/>
  </r>
  <r>
    <x v="39"/>
    <x v="0"/>
    <n v="35.299999999999997"/>
    <n v="0"/>
    <x v="1"/>
    <s v="southwest"/>
    <n v="7348.1419999999998"/>
  </r>
  <r>
    <x v="4"/>
    <x v="1"/>
    <n v="37.18"/>
    <n v="2"/>
    <x v="1"/>
    <s v="southeast"/>
    <n v="4673.3922000000002"/>
  </r>
  <r>
    <x v="17"/>
    <x v="0"/>
    <n v="27.5"/>
    <n v="0"/>
    <x v="1"/>
    <s v="southwest"/>
    <n v="12233.828"/>
  </r>
  <r>
    <x v="36"/>
    <x v="1"/>
    <n v="29.734999999999999"/>
    <n v="2"/>
    <x v="1"/>
    <s v="northeast"/>
    <n v="32108.662820000001"/>
  </r>
  <r>
    <x v="46"/>
    <x v="0"/>
    <n v="24.225000000000001"/>
    <n v="5"/>
    <x v="1"/>
    <s v="northwest"/>
    <n v="8965.7957499999993"/>
  </r>
  <r>
    <x v="1"/>
    <x v="1"/>
    <n v="26.18"/>
    <n v="2"/>
    <x v="1"/>
    <s v="southeast"/>
    <n v="2304.0021999999999"/>
  </r>
  <r>
    <x v="31"/>
    <x v="1"/>
    <n v="29.48"/>
    <n v="0"/>
    <x v="1"/>
    <s v="southeast"/>
    <n v="9487.6442000000006"/>
  </r>
  <r>
    <x v="1"/>
    <x v="1"/>
    <n v="23.21"/>
    <n v="0"/>
    <x v="1"/>
    <s v="southeast"/>
    <n v="1121.8739"/>
  </r>
  <r>
    <x v="45"/>
    <x v="0"/>
    <n v="46.09"/>
    <n v="1"/>
    <x v="1"/>
    <s v="southeast"/>
    <n v="9549.5650999999998"/>
  </r>
  <r>
    <x v="1"/>
    <x v="0"/>
    <n v="40.185000000000002"/>
    <n v="0"/>
    <x v="1"/>
    <s v="northeast"/>
    <n v="2217.4691499999999"/>
  </r>
  <r>
    <x v="0"/>
    <x v="1"/>
    <n v="22.61"/>
    <n v="0"/>
    <x v="1"/>
    <s v="northwest"/>
    <n v="1628.4709"/>
  </r>
  <r>
    <x v="10"/>
    <x v="1"/>
    <n v="39.93"/>
    <n v="0"/>
    <x v="1"/>
    <s v="southeast"/>
    <n v="12982.8747"/>
  </r>
  <r>
    <x v="12"/>
    <x v="0"/>
    <n v="35.799999999999997"/>
    <n v="1"/>
    <x v="1"/>
    <s v="southwest"/>
    <n v="11674.13"/>
  </r>
  <r>
    <x v="44"/>
    <x v="1"/>
    <n v="35.799999999999997"/>
    <n v="2"/>
    <x v="1"/>
    <s v="southwest"/>
    <n v="7160.0940000000001"/>
  </r>
  <r>
    <x v="7"/>
    <x v="1"/>
    <n v="34.200000000000003"/>
    <n v="1"/>
    <x v="0"/>
    <s v="northeast"/>
    <n v="39047.285000000003"/>
  </r>
  <r>
    <x v="44"/>
    <x v="1"/>
    <n v="31.254999999999999"/>
    <n v="0"/>
    <x v="1"/>
    <s v="northwest"/>
    <n v="6358.7764500000003"/>
  </r>
  <r>
    <x v="9"/>
    <x v="1"/>
    <n v="29.7"/>
    <n v="3"/>
    <x v="0"/>
    <s v="southwest"/>
    <n v="19933.457999999999"/>
  </r>
  <r>
    <x v="37"/>
    <x v="1"/>
    <n v="18.335000000000001"/>
    <n v="0"/>
    <x v="1"/>
    <s v="northeast"/>
    <n v="11534.872649999999"/>
  </r>
  <r>
    <x v="43"/>
    <x v="1"/>
    <n v="42.9"/>
    <n v="2"/>
    <x v="0"/>
    <s v="southeast"/>
    <n v="47462.894"/>
  </r>
  <r>
    <x v="15"/>
    <x v="0"/>
    <n v="28.405000000000001"/>
    <n v="1"/>
    <x v="1"/>
    <s v="northwest"/>
    <n v="4527.1829500000003"/>
  </r>
  <r>
    <x v="36"/>
    <x v="1"/>
    <n v="30.2"/>
    <n v="2"/>
    <x v="0"/>
    <s v="southwest"/>
    <n v="38998.546000000002"/>
  </r>
  <r>
    <x v="16"/>
    <x v="1"/>
    <n v="27.835000000000001"/>
    <n v="1"/>
    <x v="0"/>
    <s v="northwest"/>
    <n v="20009.63365"/>
  </r>
  <r>
    <x v="5"/>
    <x v="1"/>
    <n v="39.49"/>
    <n v="1"/>
    <x v="1"/>
    <s v="southeast"/>
    <n v="3875.7341000000001"/>
  </r>
  <r>
    <x v="40"/>
    <x v="1"/>
    <n v="30.8"/>
    <n v="1"/>
    <x v="0"/>
    <s v="southeast"/>
    <n v="41999.519999999997"/>
  </r>
  <r>
    <x v="23"/>
    <x v="1"/>
    <n v="26.79"/>
    <n v="1"/>
    <x v="1"/>
    <s v="northwest"/>
    <n v="12609.88702"/>
  </r>
  <r>
    <x v="32"/>
    <x v="1"/>
    <n v="34.96"/>
    <n v="1"/>
    <x v="0"/>
    <s v="northeast"/>
    <n v="41034.221400000002"/>
  </r>
  <r>
    <x v="28"/>
    <x v="1"/>
    <n v="36.67"/>
    <n v="1"/>
    <x v="1"/>
    <s v="northwest"/>
    <n v="28468.919010000001"/>
  </r>
  <r>
    <x v="0"/>
    <x v="0"/>
    <n v="39.615000000000002"/>
    <n v="1"/>
    <x v="1"/>
    <s v="northwest"/>
    <n v="2730.1078499999999"/>
  </r>
  <r>
    <x v="38"/>
    <x v="0"/>
    <n v="25.9"/>
    <n v="0"/>
    <x v="1"/>
    <s v="southwest"/>
    <n v="3353.2840000000001"/>
  </r>
  <r>
    <x v="18"/>
    <x v="0"/>
    <n v="35.200000000000003"/>
    <n v="1"/>
    <x v="1"/>
    <s v="southeast"/>
    <n v="14474.674999999999"/>
  </r>
  <r>
    <x v="6"/>
    <x v="1"/>
    <n v="24.795000000000002"/>
    <n v="3"/>
    <x v="1"/>
    <s v="northeast"/>
    <n v="9500.5730500000009"/>
  </r>
  <r>
    <x v="14"/>
    <x v="1"/>
    <n v="36.765000000000001"/>
    <n v="2"/>
    <x v="1"/>
    <s v="northwest"/>
    <n v="26467.09737"/>
  </r>
  <r>
    <x v="22"/>
    <x v="1"/>
    <n v="27.1"/>
    <n v="1"/>
    <x v="1"/>
    <s v="southwest"/>
    <n v="4746.3440000000001"/>
  </r>
  <r>
    <x v="43"/>
    <x v="1"/>
    <n v="24.795000000000002"/>
    <n v="2"/>
    <x v="0"/>
    <s v="northwest"/>
    <n v="23967.38305"/>
  </r>
  <r>
    <x v="36"/>
    <x v="1"/>
    <n v="25.364999999999998"/>
    <n v="1"/>
    <x v="1"/>
    <s v="northwest"/>
    <n v="7518.0253499999999"/>
  </r>
  <r>
    <x v="27"/>
    <x v="1"/>
    <n v="25.745000000000001"/>
    <n v="2"/>
    <x v="1"/>
    <s v="northeast"/>
    <n v="3279.8685500000001"/>
  </r>
  <r>
    <x v="46"/>
    <x v="0"/>
    <n v="34.32"/>
    <n v="5"/>
    <x v="1"/>
    <s v="southeast"/>
    <n v="8596.8277999999991"/>
  </r>
  <r>
    <x v="45"/>
    <x v="0"/>
    <n v="28.16"/>
    <n v="3"/>
    <x v="1"/>
    <s v="southeast"/>
    <n v="10702.642400000001"/>
  </r>
  <r>
    <x v="16"/>
    <x v="0"/>
    <n v="23.56"/>
    <n v="0"/>
    <x v="1"/>
    <s v="northeast"/>
    <n v="4992.3764000000001"/>
  </r>
  <r>
    <x v="20"/>
    <x v="0"/>
    <n v="20.234999999999999"/>
    <n v="0"/>
    <x v="1"/>
    <s v="northwest"/>
    <n v="2527.8186500000002"/>
  </r>
  <r>
    <x v="0"/>
    <x v="0"/>
    <n v="40.5"/>
    <n v="0"/>
    <x v="1"/>
    <s v="southwest"/>
    <n v="1759.338"/>
  </r>
  <r>
    <x v="21"/>
    <x v="1"/>
    <n v="35.42"/>
    <n v="0"/>
    <x v="1"/>
    <s v="southeast"/>
    <n v="2322.6217999999999"/>
  </r>
  <r>
    <x v="38"/>
    <x v="1"/>
    <n v="22.895"/>
    <n v="0"/>
    <x v="0"/>
    <s v="northeast"/>
    <n v="16138.762049999999"/>
  </r>
  <r>
    <x v="28"/>
    <x v="1"/>
    <n v="40.15"/>
    <n v="0"/>
    <x v="1"/>
    <s v="southeast"/>
    <n v="7804.1605"/>
  </r>
  <r>
    <x v="21"/>
    <x v="1"/>
    <n v="29.15"/>
    <n v="1"/>
    <x v="1"/>
    <s v="southeast"/>
    <n v="2902.9065000000001"/>
  </r>
  <r>
    <x v="39"/>
    <x v="0"/>
    <n v="39.994999999999997"/>
    <n v="3"/>
    <x v="1"/>
    <s v="northeast"/>
    <n v="9704.6680500000002"/>
  </r>
  <r>
    <x v="26"/>
    <x v="0"/>
    <n v="29.92"/>
    <n v="0"/>
    <x v="1"/>
    <s v="southeast"/>
    <n v="4889.0367999999999"/>
  </r>
  <r>
    <x v="40"/>
    <x v="1"/>
    <n v="25.46"/>
    <n v="1"/>
    <x v="1"/>
    <s v="northeast"/>
    <n v="25517.11363"/>
  </r>
  <r>
    <x v="16"/>
    <x v="1"/>
    <n v="21.375"/>
    <n v="0"/>
    <x v="1"/>
    <s v="northeast"/>
    <n v="4500.33925"/>
  </r>
  <r>
    <x v="5"/>
    <x v="1"/>
    <n v="25.9"/>
    <n v="3"/>
    <x v="0"/>
    <s v="southwest"/>
    <n v="19199.944"/>
  </r>
  <r>
    <x v="13"/>
    <x v="0"/>
    <n v="30.59"/>
    <n v="1"/>
    <x v="1"/>
    <s v="northeast"/>
    <n v="16796.411940000002"/>
  </r>
  <r>
    <x v="34"/>
    <x v="1"/>
    <n v="30.114999999999998"/>
    <n v="5"/>
    <x v="1"/>
    <s v="northeast"/>
    <n v="4915.0598499999996"/>
  </r>
  <r>
    <x v="36"/>
    <x v="0"/>
    <n v="25.8"/>
    <n v="1"/>
    <x v="1"/>
    <s v="southwest"/>
    <n v="7624.63"/>
  </r>
  <r>
    <x v="32"/>
    <x v="1"/>
    <n v="30.114999999999998"/>
    <n v="3"/>
    <x v="1"/>
    <s v="northwest"/>
    <n v="8410.0468500000006"/>
  </r>
  <r>
    <x v="39"/>
    <x v="0"/>
    <n v="27.645"/>
    <n v="1"/>
    <x v="1"/>
    <s v="northwest"/>
    <n v="28340.188849999999"/>
  </r>
  <r>
    <x v="16"/>
    <x v="1"/>
    <n v="34.674999999999997"/>
    <n v="0"/>
    <x v="1"/>
    <s v="northeast"/>
    <n v="4518.8262500000001"/>
  </r>
  <r>
    <x v="23"/>
    <x v="0"/>
    <n v="20.52"/>
    <n v="0"/>
    <x v="0"/>
    <s v="northeast"/>
    <n v="14571.890799999999"/>
  </r>
  <r>
    <x v="21"/>
    <x v="0"/>
    <n v="19.8"/>
    <n v="1"/>
    <x v="1"/>
    <s v="southwest"/>
    <n v="3378.91"/>
  </r>
  <r>
    <x v="25"/>
    <x v="0"/>
    <n v="27.835000000000001"/>
    <n v="2"/>
    <x v="1"/>
    <s v="northeast"/>
    <n v="7144.86265"/>
  </r>
  <r>
    <x v="45"/>
    <x v="0"/>
    <n v="31.6"/>
    <n v="2"/>
    <x v="1"/>
    <s v="southwest"/>
    <n v="10118.424000000001"/>
  </r>
  <r>
    <x v="25"/>
    <x v="1"/>
    <n v="28.27"/>
    <n v="1"/>
    <x v="1"/>
    <s v="southeast"/>
    <n v="5484.4673000000003"/>
  </r>
  <r>
    <x v="13"/>
    <x v="0"/>
    <n v="20.045000000000002"/>
    <n v="3"/>
    <x v="0"/>
    <s v="northwest"/>
    <n v="16420.494549999999"/>
  </r>
  <r>
    <x v="46"/>
    <x v="0"/>
    <n v="23.274999999999999"/>
    <n v="3"/>
    <x v="1"/>
    <s v="northeast"/>
    <n v="7986.4752500000004"/>
  </r>
  <r>
    <x v="46"/>
    <x v="0"/>
    <n v="34.1"/>
    <n v="3"/>
    <x v="1"/>
    <s v="southwest"/>
    <n v="7418.5219999999999"/>
  </r>
  <r>
    <x v="18"/>
    <x v="0"/>
    <n v="36.85"/>
    <n v="0"/>
    <x v="1"/>
    <s v="southeast"/>
    <n v="13887.968500000001"/>
  </r>
  <r>
    <x v="3"/>
    <x v="0"/>
    <n v="36.29"/>
    <n v="3"/>
    <x v="1"/>
    <s v="northeast"/>
    <n v="6551.7501000000002"/>
  </r>
  <r>
    <x v="26"/>
    <x v="0"/>
    <n v="26.885000000000002"/>
    <n v="0"/>
    <x v="1"/>
    <s v="northwest"/>
    <n v="5267.8181500000001"/>
  </r>
  <r>
    <x v="15"/>
    <x v="1"/>
    <n v="22.99"/>
    <n v="2"/>
    <x v="0"/>
    <s v="northwest"/>
    <n v="17361.766100000001"/>
  </r>
  <r>
    <x v="23"/>
    <x v="1"/>
    <n v="32.700000000000003"/>
    <n v="0"/>
    <x v="0"/>
    <s v="southwest"/>
    <n v="34472.841"/>
  </r>
  <r>
    <x v="23"/>
    <x v="1"/>
    <n v="25.8"/>
    <n v="0"/>
    <x v="1"/>
    <s v="southwest"/>
    <n v="1972.95"/>
  </r>
  <r>
    <x v="28"/>
    <x v="1"/>
    <n v="29.6"/>
    <n v="0"/>
    <x v="1"/>
    <s v="southwest"/>
    <n v="21232.182260000001"/>
  </r>
  <r>
    <x v="42"/>
    <x v="1"/>
    <n v="19.190000000000001"/>
    <n v="1"/>
    <x v="1"/>
    <s v="northeast"/>
    <n v="8627.5411000000004"/>
  </r>
  <r>
    <x v="38"/>
    <x v="1"/>
    <n v="31.73"/>
    <n v="2"/>
    <x v="1"/>
    <s v="northwest"/>
    <n v="4433.3877000000002"/>
  </r>
  <r>
    <x v="2"/>
    <x v="1"/>
    <n v="29.26"/>
    <n v="2"/>
    <x v="1"/>
    <s v="northeast"/>
    <n v="4438.2633999999998"/>
  </r>
  <r>
    <x v="42"/>
    <x v="1"/>
    <n v="28.215"/>
    <n v="3"/>
    <x v="0"/>
    <s v="northwest"/>
    <n v="24915.220850000002"/>
  </r>
  <r>
    <x v="9"/>
    <x v="1"/>
    <n v="24.984999999999999"/>
    <n v="2"/>
    <x v="1"/>
    <s v="northeast"/>
    <n v="23241.47453"/>
  </r>
  <r>
    <x v="43"/>
    <x v="1"/>
    <n v="27.74"/>
    <n v="1"/>
    <x v="1"/>
    <s v="northeast"/>
    <n v="9957.7216000000008"/>
  </r>
  <r>
    <x v="28"/>
    <x v="0"/>
    <n v="22.8"/>
    <n v="0"/>
    <x v="1"/>
    <s v="southwest"/>
    <n v="8269.0439999999999"/>
  </r>
  <r>
    <x v="32"/>
    <x v="1"/>
    <n v="20.13"/>
    <n v="2"/>
    <x v="0"/>
    <s v="southeast"/>
    <n v="18767.737700000001"/>
  </r>
  <r>
    <x v="35"/>
    <x v="0"/>
    <n v="33.33"/>
    <n v="4"/>
    <x v="1"/>
    <s v="southeast"/>
    <n v="36580.282160000002"/>
  </r>
  <r>
    <x v="28"/>
    <x v="1"/>
    <n v="32.299999999999997"/>
    <n v="1"/>
    <x v="1"/>
    <s v="northwest"/>
    <n v="8765.2489999999998"/>
  </r>
  <r>
    <x v="25"/>
    <x v="0"/>
    <n v="27.6"/>
    <n v="0"/>
    <x v="1"/>
    <s v="southwest"/>
    <n v="5383.5360000000001"/>
  </r>
  <r>
    <x v="17"/>
    <x v="1"/>
    <n v="25.46"/>
    <n v="0"/>
    <x v="1"/>
    <s v="northwest"/>
    <n v="12124.992399999999"/>
  </r>
  <r>
    <x v="0"/>
    <x v="0"/>
    <n v="24.605"/>
    <n v="1"/>
    <x v="1"/>
    <s v="northwest"/>
    <n v="2709.24395"/>
  </r>
  <r>
    <x v="21"/>
    <x v="0"/>
    <n v="34.200000000000003"/>
    <n v="2"/>
    <x v="1"/>
    <s v="southwest"/>
    <n v="3987.9259999999999"/>
  </r>
  <r>
    <x v="40"/>
    <x v="0"/>
    <n v="35.814999999999998"/>
    <n v="3"/>
    <x v="1"/>
    <s v="northwest"/>
    <n v="12495.290849999999"/>
  </r>
  <r>
    <x v="27"/>
    <x v="0"/>
    <n v="32.68"/>
    <n v="2"/>
    <x v="1"/>
    <s v="northwest"/>
    <n v="26018.950519999999"/>
  </r>
  <r>
    <x v="43"/>
    <x v="1"/>
    <n v="37"/>
    <n v="0"/>
    <x v="1"/>
    <s v="southwest"/>
    <n v="8798.5930000000008"/>
  </r>
  <r>
    <x v="20"/>
    <x v="0"/>
    <n v="31.02"/>
    <n v="3"/>
    <x v="0"/>
    <s v="southeast"/>
    <n v="35595.589800000002"/>
  </r>
  <r>
    <x v="42"/>
    <x v="1"/>
    <n v="36.08"/>
    <n v="1"/>
    <x v="0"/>
    <s v="southeast"/>
    <n v="42211.138200000001"/>
  </r>
  <r>
    <x v="1"/>
    <x v="1"/>
    <n v="23.32"/>
    <n v="1"/>
    <x v="1"/>
    <s v="southeast"/>
    <n v="1711.0268000000001"/>
  </r>
  <r>
    <x v="42"/>
    <x v="0"/>
    <n v="45.32"/>
    <n v="1"/>
    <x v="1"/>
    <s v="southeast"/>
    <n v="8569.8618000000006"/>
  </r>
  <r>
    <x v="27"/>
    <x v="0"/>
    <n v="34.6"/>
    <n v="0"/>
    <x v="1"/>
    <s v="southwest"/>
    <n v="2020.1769999999999"/>
  </r>
  <r>
    <x v="0"/>
    <x v="1"/>
    <n v="26.03"/>
    <n v="1"/>
    <x v="0"/>
    <s v="northwest"/>
    <n v="16450.894700000001"/>
  </r>
  <r>
    <x v="11"/>
    <x v="1"/>
    <n v="18.715"/>
    <n v="0"/>
    <x v="1"/>
    <s v="northwest"/>
    <n v="21595.382290000001"/>
  </r>
  <r>
    <x v="40"/>
    <x v="1"/>
    <n v="31.6"/>
    <n v="0"/>
    <x v="1"/>
    <s v="southwest"/>
    <n v="9850.4320000000007"/>
  </r>
  <r>
    <x v="7"/>
    <x v="0"/>
    <n v="17.29"/>
    <n v="2"/>
    <x v="1"/>
    <s v="northeast"/>
    <n v="6877.9800999999998"/>
  </r>
  <r>
    <x v="6"/>
    <x v="0"/>
    <n v="23.655000000000001"/>
    <n v="1"/>
    <x v="0"/>
    <s v="northwest"/>
    <n v="21677.283449999999"/>
  </r>
  <r>
    <x v="19"/>
    <x v="0"/>
    <n v="35.200000000000003"/>
    <n v="0"/>
    <x v="0"/>
    <s v="southeast"/>
    <n v="44423.803"/>
  </r>
  <r>
    <x v="15"/>
    <x v="0"/>
    <n v="27.93"/>
    <n v="0"/>
    <x v="1"/>
    <s v="northeast"/>
    <n v="4137.5227000000004"/>
  </r>
  <r>
    <x v="1"/>
    <x v="1"/>
    <n v="21.565000000000001"/>
    <n v="0"/>
    <x v="0"/>
    <s v="northeast"/>
    <n v="13747.87235"/>
  </r>
  <r>
    <x v="35"/>
    <x v="1"/>
    <n v="38.380000000000003"/>
    <n v="0"/>
    <x v="1"/>
    <s v="northwest"/>
    <n v="12950.0712"/>
  </r>
  <r>
    <x v="40"/>
    <x v="0"/>
    <n v="23"/>
    <n v="3"/>
    <x v="1"/>
    <s v="southwest"/>
    <n v="12094.477999999999"/>
  </r>
  <r>
    <x v="20"/>
    <x v="1"/>
    <n v="37.07"/>
    <n v="2"/>
    <x v="0"/>
    <s v="southeast"/>
    <n v="37484.4493"/>
  </r>
  <r>
    <x v="39"/>
    <x v="0"/>
    <n v="30.495000000000001"/>
    <n v="1"/>
    <x v="0"/>
    <s v="northwest"/>
    <n v="39725.518049999999"/>
  </r>
  <r>
    <x v="20"/>
    <x v="1"/>
    <n v="28.88"/>
    <n v="0"/>
    <x v="1"/>
    <s v="northeast"/>
    <n v="2250.8352"/>
  </r>
  <r>
    <x v="0"/>
    <x v="1"/>
    <n v="27.265000000000001"/>
    <n v="2"/>
    <x v="1"/>
    <s v="northwest"/>
    <n v="22493.659640000002"/>
  </r>
  <r>
    <x v="22"/>
    <x v="0"/>
    <n v="28.024999999999999"/>
    <n v="0"/>
    <x v="0"/>
    <s v="northwest"/>
    <n v="20234.854749999999"/>
  </r>
  <r>
    <x v="1"/>
    <x v="1"/>
    <n v="23.085000000000001"/>
    <n v="0"/>
    <x v="1"/>
    <s v="northeast"/>
    <n v="1704.7001499999999"/>
  </r>
  <r>
    <x v="34"/>
    <x v="1"/>
    <n v="30.684999999999999"/>
    <n v="0"/>
    <x v="0"/>
    <s v="northeast"/>
    <n v="33475.817150000003"/>
  </r>
  <r>
    <x v="2"/>
    <x v="0"/>
    <n v="25.8"/>
    <n v="0"/>
    <x v="1"/>
    <s v="southwest"/>
    <n v="3161.4540000000002"/>
  </r>
  <r>
    <x v="19"/>
    <x v="1"/>
    <n v="35.244999999999997"/>
    <n v="1"/>
    <x v="1"/>
    <s v="northeast"/>
    <n v="11394.065549999999"/>
  </r>
  <r>
    <x v="32"/>
    <x v="0"/>
    <n v="24.7"/>
    <n v="2"/>
    <x v="0"/>
    <s v="northwest"/>
    <n v="21880.82"/>
  </r>
  <r>
    <x v="32"/>
    <x v="0"/>
    <n v="25.08"/>
    <n v="0"/>
    <x v="1"/>
    <s v="northeast"/>
    <n v="7325.0482000000002"/>
  </r>
  <r>
    <x v="20"/>
    <x v="1"/>
    <n v="52.58"/>
    <n v="1"/>
    <x v="0"/>
    <s v="southeast"/>
    <n v="44501.398200000003"/>
  </r>
  <r>
    <x v="9"/>
    <x v="0"/>
    <n v="22.515000000000001"/>
    <n v="1"/>
    <x v="1"/>
    <s v="northwest"/>
    <n v="3594.17085"/>
  </r>
  <r>
    <x v="41"/>
    <x v="1"/>
    <n v="30.9"/>
    <n v="0"/>
    <x v="0"/>
    <s v="southwest"/>
    <n v="39727.614000000001"/>
  </r>
  <r>
    <x v="36"/>
    <x v="0"/>
    <n v="36.954999999999998"/>
    <n v="1"/>
    <x v="1"/>
    <s v="northwest"/>
    <n v="8023.1354499999998"/>
  </r>
  <r>
    <x v="33"/>
    <x v="1"/>
    <n v="26.41"/>
    <n v="0"/>
    <x v="1"/>
    <s v="northeast"/>
    <n v="14394.5579"/>
  </r>
  <r>
    <x v="41"/>
    <x v="1"/>
    <n v="29.83"/>
    <n v="1"/>
    <x v="1"/>
    <s v="northeast"/>
    <n v="9288.0267000000003"/>
  </r>
  <r>
    <x v="42"/>
    <x v="1"/>
    <n v="29.8"/>
    <n v="3"/>
    <x v="0"/>
    <s v="southwest"/>
    <n v="25309.489000000001"/>
  </r>
  <r>
    <x v="13"/>
    <x v="0"/>
    <n v="21.47"/>
    <n v="0"/>
    <x v="1"/>
    <s v="northwest"/>
    <n v="3353.4703"/>
  </r>
  <r>
    <x v="19"/>
    <x v="1"/>
    <n v="27.645"/>
    <n v="0"/>
    <x v="1"/>
    <s v="northwest"/>
    <n v="10594.501550000001"/>
  </r>
  <r>
    <x v="28"/>
    <x v="0"/>
    <n v="28.9"/>
    <n v="0"/>
    <x v="1"/>
    <s v="southwest"/>
    <n v="8277.5229999999992"/>
  </r>
  <r>
    <x v="39"/>
    <x v="0"/>
    <n v="31.79"/>
    <n v="0"/>
    <x v="1"/>
    <s v="southeast"/>
    <n v="17929.303370000001"/>
  </r>
  <r>
    <x v="23"/>
    <x v="0"/>
    <n v="39.49"/>
    <n v="0"/>
    <x v="1"/>
    <s v="southeast"/>
    <n v="2480.9791"/>
  </r>
  <r>
    <x v="4"/>
    <x v="1"/>
    <n v="33.82"/>
    <n v="1"/>
    <x v="1"/>
    <s v="northwest"/>
    <n v="4462.7218000000003"/>
  </r>
  <r>
    <x v="23"/>
    <x v="1"/>
    <n v="32.01"/>
    <n v="0"/>
    <x v="1"/>
    <s v="southeast"/>
    <n v="1981.5818999999999"/>
  </r>
  <r>
    <x v="37"/>
    <x v="1"/>
    <n v="27.94"/>
    <n v="1"/>
    <x v="1"/>
    <s v="southeast"/>
    <n v="11554.223599999999"/>
  </r>
  <r>
    <x v="17"/>
    <x v="1"/>
    <n v="41.14"/>
    <n v="1"/>
    <x v="0"/>
    <s v="southeast"/>
    <n v="48970.247600000002"/>
  </r>
  <r>
    <x v="26"/>
    <x v="1"/>
    <n v="28.594999999999999"/>
    <n v="3"/>
    <x v="1"/>
    <s v="northwest"/>
    <n v="6548.1950500000003"/>
  </r>
  <r>
    <x v="38"/>
    <x v="0"/>
    <n v="25.6"/>
    <n v="4"/>
    <x v="1"/>
    <s v="southwest"/>
    <n v="5708.8670000000002"/>
  </r>
  <r>
    <x v="44"/>
    <x v="0"/>
    <n v="25.3"/>
    <n v="1"/>
    <x v="1"/>
    <s v="southwest"/>
    <n v="7045.4989999999998"/>
  </r>
  <r>
    <x v="28"/>
    <x v="1"/>
    <n v="37.29"/>
    <n v="2"/>
    <x v="1"/>
    <s v="southeast"/>
    <n v="8978.1851000000006"/>
  </r>
  <r>
    <x v="46"/>
    <x v="1"/>
    <n v="42.655000000000001"/>
    <n v="0"/>
    <x v="1"/>
    <s v="northeast"/>
    <n v="5757.41345"/>
  </r>
  <r>
    <x v="18"/>
    <x v="1"/>
    <n v="21.66"/>
    <n v="1"/>
    <x v="1"/>
    <s v="northwest"/>
    <n v="14349.8544"/>
  </r>
  <r>
    <x v="40"/>
    <x v="0"/>
    <n v="31.9"/>
    <n v="1"/>
    <x v="1"/>
    <s v="southeast"/>
    <n v="10928.849"/>
  </r>
  <r>
    <x v="7"/>
    <x v="1"/>
    <n v="37.07"/>
    <n v="1"/>
    <x v="0"/>
    <s v="southeast"/>
    <n v="39871.704299999998"/>
  </r>
  <r>
    <x v="18"/>
    <x v="1"/>
    <n v="31.445"/>
    <n v="0"/>
    <x v="1"/>
    <s v="northeast"/>
    <n v="13974.455550000001"/>
  </r>
  <r>
    <x v="27"/>
    <x v="1"/>
    <n v="31.254999999999999"/>
    <n v="0"/>
    <x v="1"/>
    <s v="northwest"/>
    <n v="1909.52745"/>
  </r>
  <r>
    <x v="40"/>
    <x v="0"/>
    <n v="28.88"/>
    <n v="2"/>
    <x v="1"/>
    <s v="northeast"/>
    <n v="12096.6512"/>
  </r>
  <r>
    <x v="8"/>
    <x v="0"/>
    <n v="18.335000000000001"/>
    <n v="0"/>
    <x v="1"/>
    <s v="northeast"/>
    <n v="13204.28565"/>
  </r>
  <r>
    <x v="4"/>
    <x v="0"/>
    <n v="29.59"/>
    <n v="1"/>
    <x v="1"/>
    <s v="southeast"/>
    <n v="4562.8420999999998"/>
  </r>
  <r>
    <x v="42"/>
    <x v="0"/>
    <n v="32"/>
    <n v="1"/>
    <x v="1"/>
    <s v="southwest"/>
    <n v="8551.3469999999998"/>
  </r>
  <r>
    <x v="27"/>
    <x v="1"/>
    <n v="26.03"/>
    <n v="0"/>
    <x v="1"/>
    <s v="northeast"/>
    <n v="2102.2647000000002"/>
  </r>
  <r>
    <x v="2"/>
    <x v="1"/>
    <n v="31.68"/>
    <n v="0"/>
    <x v="0"/>
    <s v="southeast"/>
    <n v="34672.147199999999"/>
  </r>
  <r>
    <x v="18"/>
    <x v="1"/>
    <n v="33.659999999999997"/>
    <n v="3"/>
    <x v="1"/>
    <s v="southeast"/>
    <n v="15161.5344"/>
  </r>
  <r>
    <x v="1"/>
    <x v="1"/>
    <n v="21.78"/>
    <n v="2"/>
    <x v="1"/>
    <s v="southeast"/>
    <n v="11884.048580000001"/>
  </r>
  <r>
    <x v="4"/>
    <x v="1"/>
    <n v="27.835000000000001"/>
    <n v="1"/>
    <x v="1"/>
    <s v="northwest"/>
    <n v="4454.40265"/>
  </r>
  <r>
    <x v="25"/>
    <x v="1"/>
    <n v="19.95"/>
    <n v="1"/>
    <x v="1"/>
    <s v="northwest"/>
    <n v="5855.9025000000001"/>
  </r>
  <r>
    <x v="4"/>
    <x v="1"/>
    <n v="31.5"/>
    <n v="1"/>
    <x v="1"/>
    <s v="southwest"/>
    <n v="4076.4969999999998"/>
  </r>
  <r>
    <x v="10"/>
    <x v="0"/>
    <n v="30.495000000000001"/>
    <n v="2"/>
    <x v="1"/>
    <s v="northwest"/>
    <n v="15019.760050000001"/>
  </r>
  <r>
    <x v="46"/>
    <x v="0"/>
    <n v="18.3"/>
    <n v="5"/>
    <x v="0"/>
    <s v="southwest"/>
    <n v="19023.259999999998"/>
  </r>
  <r>
    <x v="19"/>
    <x v="1"/>
    <n v="28.975000000000001"/>
    <n v="0"/>
    <x v="1"/>
    <s v="northeast"/>
    <n v="10796.35025"/>
  </r>
  <r>
    <x v="37"/>
    <x v="1"/>
    <n v="31.54"/>
    <n v="0"/>
    <x v="1"/>
    <s v="northwest"/>
    <n v="11353.2276"/>
  </r>
  <r>
    <x v="14"/>
    <x v="1"/>
    <n v="47.74"/>
    <n v="1"/>
    <x v="1"/>
    <s v="southeast"/>
    <n v="9748.9105999999992"/>
  </r>
  <r>
    <x v="12"/>
    <x v="1"/>
    <n v="22.1"/>
    <n v="0"/>
    <x v="1"/>
    <s v="southwest"/>
    <n v="10577.087"/>
  </r>
  <r>
    <x v="42"/>
    <x v="1"/>
    <n v="36.19"/>
    <n v="0"/>
    <x v="0"/>
    <s v="southeast"/>
    <n v="41676.081100000003"/>
  </r>
  <r>
    <x v="19"/>
    <x v="0"/>
    <n v="29.83"/>
    <n v="0"/>
    <x v="1"/>
    <s v="northeast"/>
    <n v="11286.538699999999"/>
  </r>
  <r>
    <x v="11"/>
    <x v="1"/>
    <n v="32.700000000000003"/>
    <n v="3"/>
    <x v="1"/>
    <s v="southwest"/>
    <n v="3591.48"/>
  </r>
  <r>
    <x v="20"/>
    <x v="0"/>
    <n v="30.4"/>
    <n v="0"/>
    <x v="0"/>
    <s v="northwest"/>
    <n v="33907.548000000003"/>
  </r>
  <r>
    <x v="45"/>
    <x v="0"/>
    <n v="33.700000000000003"/>
    <n v="4"/>
    <x v="1"/>
    <s v="southwest"/>
    <n v="11299.343000000001"/>
  </r>
  <r>
    <x v="1"/>
    <x v="0"/>
    <n v="31.35"/>
    <n v="4"/>
    <x v="1"/>
    <s v="northeast"/>
    <n v="4561.1885000000002"/>
  </r>
  <r>
    <x v="43"/>
    <x v="0"/>
    <n v="34.96"/>
    <n v="2"/>
    <x v="0"/>
    <s v="northeast"/>
    <n v="44641.197399999997"/>
  </r>
  <r>
    <x v="20"/>
    <x v="1"/>
    <n v="33.770000000000003"/>
    <n v="0"/>
    <x v="1"/>
    <s v="southeast"/>
    <n v="1674.6323"/>
  </r>
  <r>
    <x v="14"/>
    <x v="0"/>
    <n v="30.875"/>
    <n v="0"/>
    <x v="1"/>
    <s v="northeast"/>
    <n v="23045.566159999998"/>
  </r>
  <r>
    <x v="9"/>
    <x v="0"/>
    <n v="33.99"/>
    <n v="1"/>
    <x v="1"/>
    <s v="southeast"/>
    <n v="3227.1210999999998"/>
  </r>
  <r>
    <x v="3"/>
    <x v="0"/>
    <n v="19.094999999999999"/>
    <n v="2"/>
    <x v="0"/>
    <s v="northeast"/>
    <n v="16776.304049999999"/>
  </r>
  <r>
    <x v="31"/>
    <x v="1"/>
    <n v="28.6"/>
    <n v="3"/>
    <x v="1"/>
    <s v="southwest"/>
    <n v="11253.421"/>
  </r>
  <r>
    <x v="38"/>
    <x v="1"/>
    <n v="38.94"/>
    <n v="1"/>
    <x v="1"/>
    <s v="southeast"/>
    <n v="3471.4096"/>
  </r>
  <r>
    <x v="30"/>
    <x v="1"/>
    <n v="36.08"/>
    <n v="0"/>
    <x v="1"/>
    <s v="southeast"/>
    <n v="11363.2832"/>
  </r>
  <r>
    <x v="7"/>
    <x v="1"/>
    <n v="29.8"/>
    <n v="0"/>
    <x v="1"/>
    <s v="southwest"/>
    <n v="20420.604650000001"/>
  </r>
  <r>
    <x v="40"/>
    <x v="0"/>
    <n v="31.24"/>
    <n v="0"/>
    <x v="1"/>
    <s v="southeast"/>
    <n v="10338.9316"/>
  </r>
  <r>
    <x v="41"/>
    <x v="0"/>
    <n v="29.925000000000001"/>
    <n v="0"/>
    <x v="1"/>
    <s v="northwest"/>
    <n v="8988.1587500000005"/>
  </r>
  <r>
    <x v="45"/>
    <x v="0"/>
    <n v="26.22"/>
    <n v="2"/>
    <x v="1"/>
    <s v="northwest"/>
    <n v="10493.9458"/>
  </r>
  <r>
    <x v="21"/>
    <x v="1"/>
    <n v="30"/>
    <n v="1"/>
    <x v="1"/>
    <s v="southwest"/>
    <n v="2904.0880000000002"/>
  </r>
  <r>
    <x v="39"/>
    <x v="1"/>
    <n v="20.350000000000001"/>
    <n v="3"/>
    <x v="1"/>
    <s v="southeast"/>
    <n v="8605.3615000000009"/>
  </r>
  <r>
    <x v="40"/>
    <x v="0"/>
    <n v="32.299999999999997"/>
    <n v="1"/>
    <x v="1"/>
    <s v="northeast"/>
    <n v="11512.405000000001"/>
  </r>
  <r>
    <x v="25"/>
    <x v="1"/>
    <n v="38.39"/>
    <n v="3"/>
    <x v="0"/>
    <s v="southeast"/>
    <n v="41949.244100000004"/>
  </r>
  <r>
    <x v="28"/>
    <x v="0"/>
    <n v="25.85"/>
    <n v="3"/>
    <x v="0"/>
    <s v="southeast"/>
    <n v="24180.933499999999"/>
  </r>
  <r>
    <x v="2"/>
    <x v="0"/>
    <n v="26.315000000000001"/>
    <n v="3"/>
    <x v="1"/>
    <s v="northwest"/>
    <n v="5312.1698500000002"/>
  </r>
  <r>
    <x v="11"/>
    <x v="1"/>
    <n v="24.51"/>
    <n v="0"/>
    <x v="1"/>
    <s v="northeast"/>
    <n v="2396.0958999999998"/>
  </r>
  <r>
    <x v="19"/>
    <x v="1"/>
    <n v="32.67"/>
    <n v="1"/>
    <x v="1"/>
    <s v="southeast"/>
    <n v="10807.4863"/>
  </r>
  <r>
    <x v="24"/>
    <x v="1"/>
    <n v="29.64"/>
    <n v="5"/>
    <x v="1"/>
    <s v="northeast"/>
    <n v="9222.4025999999994"/>
  </r>
  <r>
    <x v="9"/>
    <x v="1"/>
    <n v="33.33"/>
    <n v="2"/>
    <x v="0"/>
    <s v="southeast"/>
    <n v="36124.573700000001"/>
  </r>
  <r>
    <x v="3"/>
    <x v="1"/>
    <n v="35.75"/>
    <n v="1"/>
    <x v="0"/>
    <s v="southeast"/>
    <n v="38282.749499999998"/>
  </r>
  <r>
    <x v="15"/>
    <x v="0"/>
    <n v="19.95"/>
    <n v="3"/>
    <x v="1"/>
    <s v="northwest"/>
    <n v="5693.4305000000004"/>
  </r>
  <r>
    <x v="11"/>
    <x v="0"/>
    <n v="31.4"/>
    <n v="0"/>
    <x v="0"/>
    <s v="southwest"/>
    <n v="34166.273000000001"/>
  </r>
  <r>
    <x v="6"/>
    <x v="1"/>
    <n v="38.17"/>
    <n v="2"/>
    <x v="1"/>
    <s v="southeast"/>
    <n v="8347.1643000000004"/>
  </r>
  <r>
    <x v="31"/>
    <x v="0"/>
    <n v="36.86"/>
    <n v="3"/>
    <x v="0"/>
    <s v="northwest"/>
    <n v="46661.4424"/>
  </r>
  <r>
    <x v="13"/>
    <x v="0"/>
    <n v="32.395000000000003"/>
    <n v="1"/>
    <x v="1"/>
    <s v="northeast"/>
    <n v="18903.491409999999"/>
  </r>
  <r>
    <x v="11"/>
    <x v="0"/>
    <n v="42.75"/>
    <n v="1"/>
    <x v="0"/>
    <s v="northeast"/>
    <n v="40904.199500000002"/>
  </r>
  <r>
    <x v="18"/>
    <x v="0"/>
    <n v="25.08"/>
    <n v="0"/>
    <x v="1"/>
    <s v="northwest"/>
    <n v="14254.608200000001"/>
  </r>
  <r>
    <x v="19"/>
    <x v="1"/>
    <n v="29.9"/>
    <n v="0"/>
    <x v="1"/>
    <s v="southwest"/>
    <n v="10214.636"/>
  </r>
  <r>
    <x v="22"/>
    <x v="0"/>
    <n v="35.86"/>
    <n v="2"/>
    <x v="1"/>
    <s v="southeast"/>
    <n v="5836.5204000000003"/>
  </r>
  <r>
    <x v="16"/>
    <x v="1"/>
    <n v="32.799999999999997"/>
    <n v="1"/>
    <x v="1"/>
    <s v="southwest"/>
    <n v="14358.364369999999"/>
  </r>
  <r>
    <x v="0"/>
    <x v="0"/>
    <n v="18.600000000000001"/>
    <n v="0"/>
    <x v="1"/>
    <s v="southwest"/>
    <n v="1728.8969999999999"/>
  </r>
  <r>
    <x v="46"/>
    <x v="0"/>
    <n v="23.87"/>
    <n v="5"/>
    <x v="1"/>
    <s v="southeast"/>
    <n v="8582.3022999999994"/>
  </r>
  <r>
    <x v="13"/>
    <x v="1"/>
    <n v="45.9"/>
    <n v="2"/>
    <x v="1"/>
    <s v="southwest"/>
    <n v="3693.4279999999999"/>
  </r>
  <r>
    <x v="37"/>
    <x v="1"/>
    <n v="40.28"/>
    <n v="0"/>
    <x v="1"/>
    <s v="northeast"/>
    <n v="20709.020339999999"/>
  </r>
  <r>
    <x v="14"/>
    <x v="0"/>
    <n v="18.335000000000001"/>
    <n v="0"/>
    <x v="1"/>
    <s v="northwest"/>
    <n v="9991.0376500000002"/>
  </r>
  <r>
    <x v="2"/>
    <x v="1"/>
    <n v="33.82"/>
    <n v="0"/>
    <x v="1"/>
    <s v="northwest"/>
    <n v="19673.335729999999"/>
  </r>
  <r>
    <x v="45"/>
    <x v="0"/>
    <n v="28.12"/>
    <n v="3"/>
    <x v="1"/>
    <s v="northwest"/>
    <n v="11085.586799999999"/>
  </r>
  <r>
    <x v="36"/>
    <x v="0"/>
    <n v="25"/>
    <n v="1"/>
    <x v="1"/>
    <s v="southwest"/>
    <n v="7623.518"/>
  </r>
  <r>
    <x v="21"/>
    <x v="0"/>
    <n v="22.23"/>
    <n v="0"/>
    <x v="1"/>
    <s v="northwest"/>
    <n v="3176.2876999999999"/>
  </r>
  <r>
    <x v="3"/>
    <x v="1"/>
    <n v="30.25"/>
    <n v="0"/>
    <x v="1"/>
    <s v="southeast"/>
    <n v="3704.3544999999999"/>
  </r>
  <r>
    <x v="0"/>
    <x v="0"/>
    <n v="32.49"/>
    <n v="0"/>
    <x v="0"/>
    <s v="northwest"/>
    <n v="36898.733079999998"/>
  </r>
  <r>
    <x v="45"/>
    <x v="1"/>
    <n v="37.07"/>
    <n v="1"/>
    <x v="1"/>
    <s v="southeast"/>
    <n v="9048.0272999999997"/>
  </r>
  <r>
    <x v="24"/>
    <x v="0"/>
    <n v="32.6"/>
    <n v="3"/>
    <x v="1"/>
    <s v="southwest"/>
    <n v="7954.5169999999998"/>
  </r>
  <r>
    <x v="14"/>
    <x v="0"/>
    <n v="24.86"/>
    <n v="0"/>
    <x v="1"/>
    <s v="southeast"/>
    <n v="27117.993780000001"/>
  </r>
  <r>
    <x v="46"/>
    <x v="1"/>
    <n v="32.340000000000003"/>
    <n v="2"/>
    <x v="1"/>
    <s v="southeast"/>
    <n v="6338.0756000000001"/>
  </r>
  <r>
    <x v="45"/>
    <x v="1"/>
    <n v="32.299999999999997"/>
    <n v="2"/>
    <x v="1"/>
    <s v="southwest"/>
    <n v="9630.3970000000008"/>
  </r>
  <r>
    <x v="14"/>
    <x v="1"/>
    <n v="32.774999999999999"/>
    <n v="3"/>
    <x v="1"/>
    <s v="northwest"/>
    <n v="11289.10925"/>
  </r>
  <r>
    <x v="8"/>
    <x v="1"/>
    <n v="32.799999999999997"/>
    <n v="0"/>
    <x v="0"/>
    <s v="southwest"/>
    <n v="52590.829389999999"/>
  </r>
  <r>
    <x v="34"/>
    <x v="0"/>
    <n v="31.92"/>
    <n v="0"/>
    <x v="1"/>
    <s v="northwest"/>
    <n v="2261.5688"/>
  </r>
  <r>
    <x v="19"/>
    <x v="1"/>
    <n v="21.5"/>
    <n v="1"/>
    <x v="1"/>
    <s v="southwest"/>
    <n v="10791.96"/>
  </r>
  <r>
    <x v="44"/>
    <x v="1"/>
    <n v="34.1"/>
    <n v="0"/>
    <x v="1"/>
    <s v="southwest"/>
    <n v="5979.7309999999998"/>
  </r>
  <r>
    <x v="1"/>
    <x v="0"/>
    <n v="30.305"/>
    <n v="0"/>
    <x v="1"/>
    <s v="northeast"/>
    <n v="2203.7359499999998"/>
  </r>
  <r>
    <x v="30"/>
    <x v="0"/>
    <n v="36.479999999999997"/>
    <n v="0"/>
    <x v="1"/>
    <s v="northwest"/>
    <n v="12235.8392"/>
  </r>
  <r>
    <x v="32"/>
    <x v="0"/>
    <n v="32.56"/>
    <n v="3"/>
    <x v="0"/>
    <s v="southeast"/>
    <n v="40941.285400000001"/>
  </r>
  <r>
    <x v="22"/>
    <x v="0"/>
    <n v="35.814999999999998"/>
    <n v="1"/>
    <x v="1"/>
    <s v="northwest"/>
    <n v="5630.4578499999998"/>
  </r>
  <r>
    <x v="28"/>
    <x v="0"/>
    <n v="27.93"/>
    <n v="4"/>
    <x v="1"/>
    <s v="northwest"/>
    <n v="11015.1747"/>
  </r>
  <r>
    <x v="26"/>
    <x v="0"/>
    <n v="22.135000000000002"/>
    <n v="3"/>
    <x v="1"/>
    <s v="northeast"/>
    <n v="7228.2156500000001"/>
  </r>
  <r>
    <x v="0"/>
    <x v="1"/>
    <n v="44.88"/>
    <n v="0"/>
    <x v="0"/>
    <s v="southeast"/>
    <n v="39722.746200000001"/>
  </r>
  <r>
    <x v="11"/>
    <x v="0"/>
    <n v="23.18"/>
    <n v="2"/>
    <x v="1"/>
    <s v="northwest"/>
    <n v="14426.073850000001"/>
  </r>
  <r>
    <x v="34"/>
    <x v="0"/>
    <n v="30.59"/>
    <n v="0"/>
    <x v="1"/>
    <s v="northeast"/>
    <n v="2459.7201"/>
  </r>
  <r>
    <x v="4"/>
    <x v="0"/>
    <n v="41.1"/>
    <n v="0"/>
    <x v="1"/>
    <s v="southwest"/>
    <n v="3989.8409999999999"/>
  </r>
  <r>
    <x v="32"/>
    <x v="0"/>
    <n v="34.58"/>
    <n v="1"/>
    <x v="1"/>
    <s v="northwest"/>
    <n v="7727.2532000000001"/>
  </r>
  <r>
    <x v="16"/>
    <x v="1"/>
    <n v="42.13"/>
    <n v="2"/>
    <x v="1"/>
    <s v="southeast"/>
    <n v="5124.1886999999997"/>
  </r>
  <r>
    <x v="15"/>
    <x v="1"/>
    <n v="38.83"/>
    <n v="1"/>
    <x v="1"/>
    <s v="southeast"/>
    <n v="18963.171920000001"/>
  </r>
  <r>
    <x v="1"/>
    <x v="0"/>
    <n v="28.215"/>
    <n v="0"/>
    <x v="1"/>
    <s v="northeast"/>
    <n v="2200.8308499999998"/>
  </r>
  <r>
    <x v="24"/>
    <x v="0"/>
    <n v="28.31"/>
    <n v="1"/>
    <x v="1"/>
    <s v="northwest"/>
    <n v="7153.5538999999999"/>
  </r>
  <r>
    <x v="22"/>
    <x v="0"/>
    <n v="26.125"/>
    <n v="0"/>
    <x v="1"/>
    <s v="northeast"/>
    <n v="5227.9887500000004"/>
  </r>
  <r>
    <x v="37"/>
    <x v="1"/>
    <n v="40.369999999999997"/>
    <n v="0"/>
    <x v="1"/>
    <s v="southeast"/>
    <n v="10982.5013"/>
  </r>
  <r>
    <x v="38"/>
    <x v="0"/>
    <n v="24.6"/>
    <n v="2"/>
    <x v="1"/>
    <s v="southwest"/>
    <n v="4529.4769999999999"/>
  </r>
  <r>
    <x v="4"/>
    <x v="1"/>
    <n v="35.200000000000003"/>
    <n v="2"/>
    <x v="1"/>
    <s v="southwest"/>
    <n v="4670.6400000000003"/>
  </r>
  <r>
    <x v="7"/>
    <x v="0"/>
    <n v="34.104999999999997"/>
    <n v="1"/>
    <x v="1"/>
    <s v="northwest"/>
    <n v="6112.3529500000004"/>
  </r>
  <r>
    <x v="1"/>
    <x v="1"/>
    <n v="27.36"/>
    <n v="1"/>
    <x v="0"/>
    <s v="northeast"/>
    <n v="17178.682400000002"/>
  </r>
  <r>
    <x v="32"/>
    <x v="0"/>
    <n v="26.7"/>
    <n v="2"/>
    <x v="0"/>
    <s v="southwest"/>
    <n v="22478.6"/>
  </r>
  <r>
    <x v="12"/>
    <x v="0"/>
    <n v="41.91"/>
    <n v="0"/>
    <x v="1"/>
    <s v="southeast"/>
    <n v="11093.6229"/>
  </r>
  <r>
    <x v="25"/>
    <x v="1"/>
    <n v="29.26"/>
    <n v="2"/>
    <x v="1"/>
    <s v="northwest"/>
    <n v="6457.8433999999997"/>
  </r>
  <r>
    <x v="38"/>
    <x v="1"/>
    <n v="32.11"/>
    <n v="2"/>
    <x v="1"/>
    <s v="northwest"/>
    <n v="4433.9159"/>
  </r>
  <r>
    <x v="20"/>
    <x v="0"/>
    <n v="27.1"/>
    <n v="0"/>
    <x v="1"/>
    <s v="southwest"/>
    <n v="2154.3609999999999"/>
  </r>
  <r>
    <x v="14"/>
    <x v="0"/>
    <n v="24.13"/>
    <n v="1"/>
    <x v="0"/>
    <s v="northwest"/>
    <n v="23887.662700000001"/>
  </r>
  <r>
    <x v="29"/>
    <x v="0"/>
    <n v="27.4"/>
    <n v="1"/>
    <x v="1"/>
    <s v="southwest"/>
    <n v="6496.8860000000004"/>
  </r>
  <r>
    <x v="11"/>
    <x v="0"/>
    <n v="34.865000000000002"/>
    <n v="0"/>
    <x v="1"/>
    <s v="northeast"/>
    <n v="2899.4893499999998"/>
  </r>
  <r>
    <x v="5"/>
    <x v="1"/>
    <n v="29.81"/>
    <n v="0"/>
    <x v="0"/>
    <s v="southeast"/>
    <n v="19350.368900000001"/>
  </r>
  <r>
    <x v="44"/>
    <x v="0"/>
    <n v="41.325000000000003"/>
    <n v="1"/>
    <x v="1"/>
    <s v="northeast"/>
    <n v="7650.7737500000003"/>
  </r>
  <r>
    <x v="23"/>
    <x v="0"/>
    <n v="29.925000000000001"/>
    <n v="0"/>
    <x v="1"/>
    <s v="northwest"/>
    <n v="2850.6837500000001"/>
  </r>
  <r>
    <x v="9"/>
    <x v="0"/>
    <n v="30.3"/>
    <n v="0"/>
    <x v="1"/>
    <s v="southwest"/>
    <n v="2632.9920000000002"/>
  </r>
  <r>
    <x v="28"/>
    <x v="0"/>
    <n v="27.36"/>
    <n v="1"/>
    <x v="1"/>
    <s v="northeast"/>
    <n v="9447.3824000000004"/>
  </r>
  <r>
    <x v="11"/>
    <x v="0"/>
    <n v="28.49"/>
    <n v="1"/>
    <x v="0"/>
    <s v="southeast"/>
    <n v="18328.238099999999"/>
  </r>
  <r>
    <x v="39"/>
    <x v="1"/>
    <n v="23.56"/>
    <n v="2"/>
    <x v="1"/>
    <s v="northeast"/>
    <n v="8603.8233999999993"/>
  </r>
  <r>
    <x v="34"/>
    <x v="1"/>
    <n v="35.625"/>
    <n v="3"/>
    <x v="0"/>
    <s v="northwest"/>
    <n v="37465.34375"/>
  </r>
  <r>
    <x v="10"/>
    <x v="0"/>
    <n v="32.68"/>
    <n v="0"/>
    <x v="1"/>
    <s v="northwest"/>
    <n v="13844.797200000001"/>
  </r>
  <r>
    <x v="32"/>
    <x v="0"/>
    <n v="25.27"/>
    <n v="1"/>
    <x v="0"/>
    <s v="northeast"/>
    <n v="21771.3423"/>
  </r>
  <r>
    <x v="11"/>
    <x v="0"/>
    <n v="28"/>
    <n v="0"/>
    <x v="1"/>
    <s v="southwest"/>
    <n v="13126.677449999999"/>
  </r>
  <r>
    <x v="5"/>
    <x v="0"/>
    <n v="32.774999999999999"/>
    <n v="2"/>
    <x v="1"/>
    <s v="northwest"/>
    <n v="5327.4002499999997"/>
  </r>
  <r>
    <x v="24"/>
    <x v="0"/>
    <n v="21.754999999999999"/>
    <n v="1"/>
    <x v="1"/>
    <s v="northeast"/>
    <n v="13725.47184"/>
  </r>
  <r>
    <x v="30"/>
    <x v="0"/>
    <n v="32.395000000000003"/>
    <n v="1"/>
    <x v="1"/>
    <s v="northeast"/>
    <n v="13019.161050000001"/>
  </r>
  <r>
    <x v="28"/>
    <x v="0"/>
    <n v="36.575000000000003"/>
    <n v="0"/>
    <x v="1"/>
    <s v="northwest"/>
    <n v="8671.1912499999999"/>
  </r>
  <r>
    <x v="5"/>
    <x v="0"/>
    <n v="21.754999999999999"/>
    <n v="0"/>
    <x v="1"/>
    <s v="northwest"/>
    <n v="4134.0824499999999"/>
  </r>
  <r>
    <x v="0"/>
    <x v="0"/>
    <n v="27.93"/>
    <n v="3"/>
    <x v="1"/>
    <s v="northwest"/>
    <n v="18838.703659999999"/>
  </r>
  <r>
    <x v="0"/>
    <x v="0"/>
    <n v="30.02"/>
    <n v="0"/>
    <x v="0"/>
    <s v="northwest"/>
    <n v="33307.550799999997"/>
  </r>
  <r>
    <x v="24"/>
    <x v="1"/>
    <n v="33.549999999999997"/>
    <n v="0"/>
    <x v="1"/>
    <s v="southeast"/>
    <n v="5699.8374999999996"/>
  </r>
  <r>
    <x v="29"/>
    <x v="1"/>
    <n v="29.355"/>
    <n v="1"/>
    <x v="1"/>
    <s v="northwest"/>
    <n v="6393.6034499999996"/>
  </r>
  <r>
    <x v="5"/>
    <x v="0"/>
    <n v="25.8"/>
    <n v="2"/>
    <x v="1"/>
    <s v="southwest"/>
    <n v="4934.7049999999999"/>
  </r>
  <r>
    <x v="7"/>
    <x v="1"/>
    <n v="24.32"/>
    <n v="2"/>
    <x v="1"/>
    <s v="northwest"/>
    <n v="6198.7518"/>
  </r>
  <r>
    <x v="6"/>
    <x v="1"/>
    <n v="40.375"/>
    <n v="2"/>
    <x v="1"/>
    <s v="northwest"/>
    <n v="8733.2292500000003"/>
  </r>
  <r>
    <x v="20"/>
    <x v="1"/>
    <n v="32.11"/>
    <n v="0"/>
    <x v="1"/>
    <s v="northwest"/>
    <n v="2055.3249000000001"/>
  </r>
  <r>
    <x v="43"/>
    <x v="1"/>
    <n v="32.299999999999997"/>
    <n v="1"/>
    <x v="1"/>
    <s v="northeast"/>
    <n v="9964.06"/>
  </r>
  <r>
    <x v="1"/>
    <x v="0"/>
    <n v="27.28"/>
    <n v="3"/>
    <x v="0"/>
    <s v="southeast"/>
    <n v="18223.4512"/>
  </r>
  <r>
    <x v="22"/>
    <x v="1"/>
    <n v="17.86"/>
    <n v="1"/>
    <x v="1"/>
    <s v="northwest"/>
    <n v="5116.5003999999999"/>
  </r>
  <r>
    <x v="17"/>
    <x v="0"/>
    <n v="34.799999999999997"/>
    <n v="2"/>
    <x v="1"/>
    <s v="southwest"/>
    <n v="36910.608030000003"/>
  </r>
  <r>
    <x v="26"/>
    <x v="1"/>
    <n v="33.4"/>
    <n v="2"/>
    <x v="0"/>
    <s v="southwest"/>
    <n v="38415.474000000002"/>
  </r>
  <r>
    <x v="7"/>
    <x v="0"/>
    <n v="25.555"/>
    <n v="1"/>
    <x v="0"/>
    <s v="northeast"/>
    <n v="20296.863450000001"/>
  </r>
  <r>
    <x v="17"/>
    <x v="1"/>
    <n v="37.1"/>
    <n v="1"/>
    <x v="1"/>
    <s v="southwest"/>
    <n v="12347.172"/>
  </r>
  <r>
    <x v="26"/>
    <x v="1"/>
    <n v="30.875"/>
    <n v="1"/>
    <x v="1"/>
    <s v="northwest"/>
    <n v="5373.3642499999996"/>
  </r>
  <r>
    <x v="46"/>
    <x v="1"/>
    <n v="34.1"/>
    <n v="2"/>
    <x v="1"/>
    <s v="southeast"/>
    <n v="23563.016179999999"/>
  </r>
  <r>
    <x v="1"/>
    <x v="1"/>
    <n v="21.47"/>
    <n v="0"/>
    <x v="1"/>
    <s v="northeast"/>
    <n v="1702.4553000000001"/>
  </r>
  <r>
    <x v="14"/>
    <x v="0"/>
    <n v="33.299999999999997"/>
    <n v="2"/>
    <x v="1"/>
    <s v="southwest"/>
    <n v="10806.839"/>
  </r>
  <r>
    <x v="13"/>
    <x v="0"/>
    <n v="31.254999999999999"/>
    <n v="1"/>
    <x v="1"/>
    <s v="northwest"/>
    <n v="3956.0714499999999"/>
  </r>
  <r>
    <x v="1"/>
    <x v="1"/>
    <n v="39.14"/>
    <n v="0"/>
    <x v="1"/>
    <s v="northeast"/>
    <n v="12890.057650000001"/>
  </r>
  <r>
    <x v="29"/>
    <x v="1"/>
    <n v="25.08"/>
    <n v="0"/>
    <x v="1"/>
    <s v="southeast"/>
    <n v="5415.6611999999996"/>
  </r>
  <r>
    <x v="38"/>
    <x v="1"/>
    <n v="37.29"/>
    <n v="2"/>
    <x v="1"/>
    <s v="southeast"/>
    <n v="4058.1161000000002"/>
  </r>
  <r>
    <x v="6"/>
    <x v="0"/>
    <n v="34.6"/>
    <n v="1"/>
    <x v="0"/>
    <s v="southwest"/>
    <n v="41661.601999999999"/>
  </r>
  <r>
    <x v="25"/>
    <x v="0"/>
    <n v="30.21"/>
    <n v="3"/>
    <x v="1"/>
    <s v="northwest"/>
    <n v="7537.1638999999996"/>
  </r>
  <r>
    <x v="15"/>
    <x v="0"/>
    <n v="21.945"/>
    <n v="1"/>
    <x v="1"/>
    <s v="northeast"/>
    <n v="4718.2035500000002"/>
  </r>
  <r>
    <x v="29"/>
    <x v="1"/>
    <n v="24.97"/>
    <n v="2"/>
    <x v="1"/>
    <s v="southeast"/>
    <n v="6593.5083000000004"/>
  </r>
  <r>
    <x v="45"/>
    <x v="1"/>
    <n v="25.3"/>
    <n v="0"/>
    <x v="1"/>
    <s v="southeast"/>
    <n v="8442.6669999999995"/>
  </r>
  <r>
    <x v="34"/>
    <x v="0"/>
    <n v="24.42"/>
    <n v="0"/>
    <x v="0"/>
    <s v="southeast"/>
    <n v="26125.674770000001"/>
  </r>
  <r>
    <x v="24"/>
    <x v="1"/>
    <n v="23.94"/>
    <n v="1"/>
    <x v="1"/>
    <s v="northeast"/>
    <n v="6858.4795999999997"/>
  </r>
  <r>
    <x v="3"/>
    <x v="0"/>
    <n v="39.82"/>
    <n v="1"/>
    <x v="1"/>
    <s v="southeast"/>
    <n v="4795.6567999999997"/>
  </r>
  <r>
    <x v="25"/>
    <x v="1"/>
    <n v="16.815000000000001"/>
    <n v="2"/>
    <x v="1"/>
    <s v="northeast"/>
    <n v="6640.5448500000002"/>
  </r>
  <r>
    <x v="44"/>
    <x v="1"/>
    <n v="37.18"/>
    <n v="2"/>
    <x v="1"/>
    <s v="southeast"/>
    <n v="7162.0122000000001"/>
  </r>
  <r>
    <x v="12"/>
    <x v="1"/>
    <n v="34.43"/>
    <n v="0"/>
    <x v="1"/>
    <s v="southeast"/>
    <n v="10594.225700000001"/>
  </r>
  <r>
    <x v="30"/>
    <x v="1"/>
    <n v="30.305"/>
    <n v="0"/>
    <x v="1"/>
    <s v="northeast"/>
    <n v="11938.255950000001"/>
  </r>
  <r>
    <x v="14"/>
    <x v="1"/>
    <n v="34.484999999999999"/>
    <n v="3"/>
    <x v="0"/>
    <s v="northwest"/>
    <n v="60021.398970000002"/>
  </r>
  <r>
    <x v="34"/>
    <x v="0"/>
    <n v="21.8"/>
    <n v="0"/>
    <x v="0"/>
    <s v="southwest"/>
    <n v="20167.336029999999"/>
  </r>
  <r>
    <x v="40"/>
    <x v="0"/>
    <n v="24.605"/>
    <n v="3"/>
    <x v="1"/>
    <s v="northwest"/>
    <n v="12479.70895"/>
  </r>
  <r>
    <x v="30"/>
    <x v="1"/>
    <n v="23.3"/>
    <n v="0"/>
    <x v="1"/>
    <s v="southwest"/>
    <n v="11345.519"/>
  </r>
  <r>
    <x v="39"/>
    <x v="0"/>
    <n v="27.83"/>
    <n v="2"/>
    <x v="1"/>
    <s v="southeast"/>
    <n v="8515.7587000000003"/>
  </r>
  <r>
    <x v="21"/>
    <x v="1"/>
    <n v="31.065000000000001"/>
    <n v="0"/>
    <x v="1"/>
    <s v="northwest"/>
    <n v="2699.56835"/>
  </r>
  <r>
    <x v="18"/>
    <x v="0"/>
    <n v="21.66"/>
    <n v="0"/>
    <x v="1"/>
    <s v="northeast"/>
    <n v="14449.8544"/>
  </r>
  <r>
    <x v="30"/>
    <x v="0"/>
    <n v="28.215"/>
    <n v="0"/>
    <x v="1"/>
    <s v="northwest"/>
    <n v="12224.350850000001"/>
  </r>
  <r>
    <x v="7"/>
    <x v="1"/>
    <n v="22.704999999999998"/>
    <n v="3"/>
    <x v="1"/>
    <s v="northeast"/>
    <n v="6985.50695"/>
  </r>
  <r>
    <x v="9"/>
    <x v="0"/>
    <n v="42.13"/>
    <n v="1"/>
    <x v="1"/>
    <s v="southeast"/>
    <n v="3238.4357"/>
  </r>
  <r>
    <x v="14"/>
    <x v="1"/>
    <n v="41.8"/>
    <n v="2"/>
    <x v="0"/>
    <s v="southeast"/>
    <n v="47269.853999999999"/>
  </r>
  <r>
    <x v="33"/>
    <x v="1"/>
    <n v="36.96"/>
    <n v="2"/>
    <x v="0"/>
    <s v="southeast"/>
    <n v="49577.662400000001"/>
  </r>
  <r>
    <x v="20"/>
    <x v="0"/>
    <n v="21.28"/>
    <n v="3"/>
    <x v="1"/>
    <s v="northwest"/>
    <n v="4296.2712000000001"/>
  </r>
  <r>
    <x v="2"/>
    <x v="0"/>
    <n v="33.11"/>
    <n v="0"/>
    <x v="1"/>
    <s v="southeast"/>
    <n v="3171.6149"/>
  </r>
  <r>
    <x v="1"/>
    <x v="1"/>
    <n v="33.33"/>
    <n v="0"/>
    <x v="1"/>
    <s v="southeast"/>
    <n v="1135.9407000000001"/>
  </r>
  <r>
    <x v="2"/>
    <x v="1"/>
    <n v="24.3"/>
    <n v="5"/>
    <x v="1"/>
    <s v="southwest"/>
    <n v="5615.3689999999997"/>
  </r>
  <r>
    <x v="39"/>
    <x v="0"/>
    <n v="25.7"/>
    <n v="3"/>
    <x v="1"/>
    <s v="southwest"/>
    <n v="9101.7980000000007"/>
  </r>
  <r>
    <x v="3"/>
    <x v="1"/>
    <n v="29.4"/>
    <n v="4"/>
    <x v="1"/>
    <s v="southwest"/>
    <n v="6059.1729999999998"/>
  </r>
  <r>
    <x v="1"/>
    <x v="0"/>
    <n v="39.82"/>
    <n v="0"/>
    <x v="1"/>
    <s v="southeast"/>
    <n v="1633.9618"/>
  </r>
  <r>
    <x v="4"/>
    <x v="1"/>
    <n v="33.630000000000003"/>
    <n v="1"/>
    <x v="0"/>
    <s v="northeast"/>
    <n v="37607.527699999999"/>
  </r>
  <r>
    <x v="23"/>
    <x v="1"/>
    <n v="29.83"/>
    <n v="0"/>
    <x v="0"/>
    <s v="northeast"/>
    <n v="18648.421699999999"/>
  </r>
  <r>
    <x v="0"/>
    <x v="1"/>
    <n v="19.8"/>
    <n v="0"/>
    <x v="1"/>
    <s v="southwest"/>
    <n v="1241.5650000000001"/>
  </r>
  <r>
    <x v="34"/>
    <x v="1"/>
    <n v="27.3"/>
    <n v="0"/>
    <x v="0"/>
    <s v="southwest"/>
    <n v="16232.847"/>
  </r>
  <r>
    <x v="29"/>
    <x v="0"/>
    <n v="29.3"/>
    <n v="4"/>
    <x v="1"/>
    <s v="southwest"/>
    <n v="15828.82173"/>
  </r>
  <r>
    <x v="16"/>
    <x v="0"/>
    <n v="27.72"/>
    <n v="0"/>
    <x v="1"/>
    <s v="southeast"/>
    <n v="4415.1588000000002"/>
  </r>
  <r>
    <x v="44"/>
    <x v="0"/>
    <n v="37.9"/>
    <n v="0"/>
    <x v="1"/>
    <s v="southwest"/>
    <n v="6474.0129999999999"/>
  </r>
  <r>
    <x v="43"/>
    <x v="0"/>
    <n v="36.384999999999998"/>
    <n v="3"/>
    <x v="1"/>
    <s v="northwest"/>
    <n v="11436.738149999999"/>
  </r>
  <r>
    <x v="40"/>
    <x v="0"/>
    <n v="27.645"/>
    <n v="1"/>
    <x v="1"/>
    <s v="northwest"/>
    <n v="11305.93455"/>
  </r>
  <r>
    <x v="19"/>
    <x v="1"/>
    <n v="37.715000000000003"/>
    <n v="3"/>
    <x v="1"/>
    <s v="northwest"/>
    <n v="30063.580549999999"/>
  </r>
  <r>
    <x v="14"/>
    <x v="0"/>
    <n v="23.18"/>
    <n v="0"/>
    <x v="1"/>
    <s v="northeast"/>
    <n v="10197.772199999999"/>
  </r>
  <r>
    <x v="4"/>
    <x v="0"/>
    <n v="20.52"/>
    <n v="0"/>
    <x v="1"/>
    <s v="northeast"/>
    <n v="4544.2348000000002"/>
  </r>
  <r>
    <x v="2"/>
    <x v="1"/>
    <n v="37.1"/>
    <n v="1"/>
    <x v="1"/>
    <s v="southwest"/>
    <n v="3277.1610000000001"/>
  </r>
  <r>
    <x v="24"/>
    <x v="0"/>
    <n v="28.05"/>
    <n v="1"/>
    <x v="1"/>
    <s v="southeast"/>
    <n v="6770.1925000000001"/>
  </r>
  <r>
    <x v="32"/>
    <x v="0"/>
    <n v="29.9"/>
    <n v="1"/>
    <x v="1"/>
    <s v="southwest"/>
    <n v="7337.7479999999996"/>
  </r>
  <r>
    <x v="41"/>
    <x v="0"/>
    <n v="33.344999999999999"/>
    <n v="2"/>
    <x v="1"/>
    <s v="northeast"/>
    <n v="10370.912549999999"/>
  </r>
  <r>
    <x v="33"/>
    <x v="1"/>
    <n v="23.76"/>
    <n v="0"/>
    <x v="0"/>
    <s v="southeast"/>
    <n v="26926.5144"/>
  </r>
  <r>
    <x v="19"/>
    <x v="0"/>
    <n v="30.5"/>
    <n v="0"/>
    <x v="1"/>
    <s v="southwest"/>
    <n v="10704.47"/>
  </r>
  <r>
    <x v="23"/>
    <x v="1"/>
    <n v="31.065000000000001"/>
    <n v="0"/>
    <x v="0"/>
    <s v="northeast"/>
    <n v="34254.053350000002"/>
  </r>
  <r>
    <x v="34"/>
    <x v="0"/>
    <n v="33.299999999999997"/>
    <n v="0"/>
    <x v="1"/>
    <s v="southwest"/>
    <n v="1880.4870000000001"/>
  </r>
  <r>
    <x v="39"/>
    <x v="1"/>
    <n v="27.5"/>
    <n v="3"/>
    <x v="1"/>
    <s v="southwest"/>
    <n v="8615.2999999999993"/>
  </r>
  <r>
    <x v="21"/>
    <x v="1"/>
    <n v="33.914999999999999"/>
    <n v="1"/>
    <x v="1"/>
    <s v="northwest"/>
    <n v="3292.5298499999999"/>
  </r>
  <r>
    <x v="9"/>
    <x v="0"/>
    <n v="34.484999999999999"/>
    <n v="0"/>
    <x v="1"/>
    <s v="northwest"/>
    <n v="3021.80915"/>
  </r>
  <r>
    <x v="32"/>
    <x v="1"/>
    <n v="25.52"/>
    <n v="5"/>
    <x v="1"/>
    <s v="southeast"/>
    <n v="14478.33015"/>
  </r>
  <r>
    <x v="22"/>
    <x v="1"/>
    <n v="27.61"/>
    <n v="1"/>
    <x v="1"/>
    <s v="southeast"/>
    <n v="4747.0528999999997"/>
  </r>
  <r>
    <x v="21"/>
    <x v="1"/>
    <n v="27.06"/>
    <n v="0"/>
    <x v="0"/>
    <s v="southeast"/>
    <n v="17043.341400000001"/>
  </r>
  <r>
    <x v="37"/>
    <x v="1"/>
    <n v="23.7"/>
    <n v="0"/>
    <x v="1"/>
    <s v="southwest"/>
    <n v="10959.33"/>
  </r>
  <r>
    <x v="20"/>
    <x v="0"/>
    <n v="30.4"/>
    <n v="0"/>
    <x v="1"/>
    <s v="northeast"/>
    <n v="2741.9479999999999"/>
  </r>
  <r>
    <x v="4"/>
    <x v="0"/>
    <n v="29.734999999999999"/>
    <n v="0"/>
    <x v="1"/>
    <s v="northwest"/>
    <n v="4357.0436499999996"/>
  </r>
  <r>
    <x v="46"/>
    <x v="1"/>
    <n v="29.925000000000001"/>
    <n v="1"/>
    <x v="0"/>
    <s v="northeast"/>
    <n v="22462.043750000001"/>
  </r>
  <r>
    <x v="9"/>
    <x v="0"/>
    <n v="26.79"/>
    <n v="2"/>
    <x v="1"/>
    <s v="northwest"/>
    <n v="4189.1130999999996"/>
  </r>
  <r>
    <x v="28"/>
    <x v="0"/>
    <n v="33.33"/>
    <n v="0"/>
    <x v="1"/>
    <s v="southeast"/>
    <n v="8283.6807000000008"/>
  </r>
  <r>
    <x v="42"/>
    <x v="0"/>
    <n v="27.645"/>
    <n v="2"/>
    <x v="0"/>
    <s v="northwest"/>
    <n v="24535.698550000001"/>
  </r>
  <r>
    <x v="1"/>
    <x v="0"/>
    <n v="21.66"/>
    <n v="0"/>
    <x v="0"/>
    <s v="northeast"/>
    <n v="14283.4594"/>
  </r>
  <r>
    <x v="1"/>
    <x v="1"/>
    <n v="30.03"/>
    <n v="1"/>
    <x v="1"/>
    <s v="southeast"/>
    <n v="1720.3536999999999"/>
  </r>
  <r>
    <x v="35"/>
    <x v="1"/>
    <n v="36.299999999999997"/>
    <n v="1"/>
    <x v="0"/>
    <s v="southwest"/>
    <n v="47403.88"/>
  </r>
  <r>
    <x v="42"/>
    <x v="0"/>
    <n v="24.32"/>
    <n v="0"/>
    <x v="1"/>
    <s v="northeast"/>
    <n v="8534.6718000000001"/>
  </r>
  <r>
    <x v="2"/>
    <x v="0"/>
    <n v="17.29"/>
    <n v="0"/>
    <x v="1"/>
    <s v="northeast"/>
    <n v="3732.6251000000002"/>
  </r>
  <r>
    <x v="26"/>
    <x v="0"/>
    <n v="25.9"/>
    <n v="1"/>
    <x v="1"/>
    <s v="southwest"/>
    <n v="5472.4489999999996"/>
  </r>
  <r>
    <x v="34"/>
    <x v="1"/>
    <n v="39.4"/>
    <n v="2"/>
    <x v="0"/>
    <s v="southwest"/>
    <n v="38344.565999999999"/>
  </r>
  <r>
    <x v="36"/>
    <x v="1"/>
    <n v="34.32"/>
    <n v="1"/>
    <x v="1"/>
    <s v="southeast"/>
    <n v="7147.4727999999996"/>
  </r>
  <r>
    <x v="25"/>
    <x v="0"/>
    <n v="19.95"/>
    <n v="2"/>
    <x v="1"/>
    <s v="northeast"/>
    <n v="7133.9025000000001"/>
  </r>
  <r>
    <x v="0"/>
    <x v="1"/>
    <n v="34.9"/>
    <n v="0"/>
    <x v="0"/>
    <s v="southwest"/>
    <n v="34828.654000000002"/>
  </r>
  <r>
    <x v="27"/>
    <x v="1"/>
    <n v="23.21"/>
    <n v="0"/>
    <x v="1"/>
    <s v="southeast"/>
    <n v="1515.3449000000001"/>
  </r>
  <r>
    <x v="6"/>
    <x v="1"/>
    <n v="25.745000000000001"/>
    <n v="3"/>
    <x v="1"/>
    <s v="northwest"/>
    <n v="9301.8935500000007"/>
  </r>
  <r>
    <x v="30"/>
    <x v="1"/>
    <n v="25.175000000000001"/>
    <n v="0"/>
    <x v="1"/>
    <s v="northeast"/>
    <n v="11931.125249999999"/>
  </r>
  <r>
    <x v="34"/>
    <x v="1"/>
    <n v="22"/>
    <n v="1"/>
    <x v="1"/>
    <s v="southwest"/>
    <n v="1964.78"/>
  </r>
  <r>
    <x v="1"/>
    <x v="1"/>
    <n v="26.125"/>
    <n v="0"/>
    <x v="1"/>
    <s v="northeast"/>
    <n v="1708.9257500000001"/>
  </r>
  <r>
    <x v="2"/>
    <x v="0"/>
    <n v="26.51"/>
    <n v="2"/>
    <x v="1"/>
    <s v="southeast"/>
    <n v="4340.4408999999996"/>
  </r>
  <r>
    <x v="3"/>
    <x v="1"/>
    <n v="27.454999999999998"/>
    <n v="2"/>
    <x v="1"/>
    <s v="northwest"/>
    <n v="5261.4694499999996"/>
  </r>
  <r>
    <x v="0"/>
    <x v="0"/>
    <n v="25.745000000000001"/>
    <n v="1"/>
    <x v="1"/>
    <s v="northwest"/>
    <n v="2710.8285500000002"/>
  </r>
  <r>
    <x v="39"/>
    <x v="1"/>
    <n v="30.36"/>
    <n v="0"/>
    <x v="0"/>
    <s v="southeast"/>
    <n v="62592.873090000001"/>
  </r>
  <r>
    <x v="10"/>
    <x v="1"/>
    <n v="30.875"/>
    <n v="3"/>
    <x v="0"/>
    <s v="northwest"/>
    <n v="46718.163249999998"/>
  </r>
  <r>
    <x v="9"/>
    <x v="0"/>
    <n v="20.8"/>
    <n v="1"/>
    <x v="1"/>
    <s v="southwest"/>
    <n v="3208.7869999999998"/>
  </r>
  <r>
    <x v="32"/>
    <x v="1"/>
    <n v="27.8"/>
    <n v="0"/>
    <x v="0"/>
    <s v="southwest"/>
    <n v="37829.724199999997"/>
  </r>
  <r>
    <x v="44"/>
    <x v="1"/>
    <n v="24.605"/>
    <n v="2"/>
    <x v="0"/>
    <s v="northeast"/>
    <n v="21259.377949999998"/>
  </r>
  <r>
    <x v="23"/>
    <x v="0"/>
    <n v="27.72"/>
    <n v="0"/>
    <x v="1"/>
    <s v="southeast"/>
    <n v="2464.6188000000002"/>
  </r>
  <r>
    <x v="38"/>
    <x v="0"/>
    <n v="21.85"/>
    <n v="0"/>
    <x v="0"/>
    <s v="northeast"/>
    <n v="16115.3045"/>
  </r>
  <r>
    <x v="4"/>
    <x v="1"/>
    <n v="28.12"/>
    <n v="4"/>
    <x v="0"/>
    <s v="northwest"/>
    <n v="21472.478800000001"/>
  </r>
  <r>
    <x v="9"/>
    <x v="0"/>
    <n v="30.2"/>
    <n v="0"/>
    <x v="0"/>
    <s v="southwest"/>
    <n v="33900.652999999998"/>
  </r>
  <r>
    <x v="24"/>
    <x v="1"/>
    <n v="32.200000000000003"/>
    <n v="2"/>
    <x v="1"/>
    <s v="southwest"/>
    <n v="6875.9610000000002"/>
  </r>
  <r>
    <x v="44"/>
    <x v="1"/>
    <n v="26.315000000000001"/>
    <n v="1"/>
    <x v="1"/>
    <s v="northwest"/>
    <n v="6940.90985"/>
  </r>
  <r>
    <x v="3"/>
    <x v="0"/>
    <n v="26.695"/>
    <n v="0"/>
    <x v="1"/>
    <s v="northwest"/>
    <n v="4571.4130500000001"/>
  </r>
  <r>
    <x v="16"/>
    <x v="1"/>
    <n v="42.9"/>
    <n v="1"/>
    <x v="1"/>
    <s v="southwest"/>
    <n v="4536.259"/>
  </r>
  <r>
    <x v="0"/>
    <x v="0"/>
    <n v="34.700000000000003"/>
    <n v="2"/>
    <x v="0"/>
    <s v="southwest"/>
    <n v="36397.576000000001"/>
  </r>
  <r>
    <x v="15"/>
    <x v="0"/>
    <n v="23.655000000000001"/>
    <n v="3"/>
    <x v="0"/>
    <s v="northwest"/>
    <n v="18765.87545"/>
  </r>
  <r>
    <x v="1"/>
    <x v="1"/>
    <n v="28.31"/>
    <n v="1"/>
    <x v="1"/>
    <s v="northeast"/>
    <n v="11272.331389999999"/>
  </r>
  <r>
    <x v="0"/>
    <x v="0"/>
    <n v="20.6"/>
    <n v="0"/>
    <x v="1"/>
    <s v="southwest"/>
    <n v="1731.6769999999999"/>
  </r>
  <r>
    <x v="1"/>
    <x v="1"/>
    <n v="53.13"/>
    <n v="0"/>
    <x v="1"/>
    <s v="southeast"/>
    <n v="1163.4627"/>
  </r>
  <r>
    <x v="22"/>
    <x v="1"/>
    <n v="39.71"/>
    <n v="4"/>
    <x v="1"/>
    <s v="northeast"/>
    <n v="19496.71917"/>
  </r>
  <r>
    <x v="46"/>
    <x v="0"/>
    <n v="26.315000000000001"/>
    <n v="2"/>
    <x v="1"/>
    <s v="northwest"/>
    <n v="7201.7008500000002"/>
  </r>
  <r>
    <x v="5"/>
    <x v="1"/>
    <n v="31.065000000000001"/>
    <n v="3"/>
    <x v="1"/>
    <s v="northwest"/>
    <n v="5425.0233500000004"/>
  </r>
  <r>
    <x v="10"/>
    <x v="1"/>
    <n v="26.695"/>
    <n v="0"/>
    <x v="0"/>
    <s v="northeast"/>
    <n v="28101.333050000001"/>
  </r>
  <r>
    <x v="10"/>
    <x v="1"/>
    <n v="38.83"/>
    <n v="0"/>
    <x v="1"/>
    <s v="southeast"/>
    <n v="12981.3457"/>
  </r>
  <r>
    <x v="44"/>
    <x v="0"/>
    <n v="40.369999999999997"/>
    <n v="2"/>
    <x v="0"/>
    <s v="southeast"/>
    <n v="43896.376300000004"/>
  </r>
  <r>
    <x v="5"/>
    <x v="1"/>
    <n v="25.934999999999999"/>
    <n v="1"/>
    <x v="1"/>
    <s v="northwest"/>
    <n v="4239.8926499999998"/>
  </r>
  <r>
    <x v="35"/>
    <x v="1"/>
    <n v="33.534999999999997"/>
    <n v="0"/>
    <x v="1"/>
    <s v="northeast"/>
    <n v="13143.336649999999"/>
  </r>
  <r>
    <x v="44"/>
    <x v="0"/>
    <n v="32.869999999999997"/>
    <n v="0"/>
    <x v="1"/>
    <s v="northeast"/>
    <n v="7050.0213000000003"/>
  </r>
  <r>
    <x v="43"/>
    <x v="1"/>
    <n v="30.03"/>
    <n v="1"/>
    <x v="1"/>
    <s v="southeast"/>
    <n v="9377.9046999999991"/>
  </r>
  <r>
    <x v="11"/>
    <x v="0"/>
    <n v="24.225000000000001"/>
    <n v="2"/>
    <x v="1"/>
    <s v="northeast"/>
    <n v="22395.74424"/>
  </r>
  <r>
    <x v="14"/>
    <x v="1"/>
    <n v="38.6"/>
    <n v="2"/>
    <x v="1"/>
    <s v="southwest"/>
    <n v="10325.206"/>
  </r>
  <r>
    <x v="37"/>
    <x v="0"/>
    <n v="25.74"/>
    <n v="2"/>
    <x v="1"/>
    <s v="southeast"/>
    <n v="12629.1656"/>
  </r>
  <r>
    <x v="11"/>
    <x v="0"/>
    <n v="33.4"/>
    <n v="0"/>
    <x v="1"/>
    <s v="southwest"/>
    <n v="10795.937330000001"/>
  </r>
  <r>
    <x v="14"/>
    <x v="0"/>
    <n v="44.7"/>
    <n v="3"/>
    <x v="1"/>
    <s v="southwest"/>
    <n v="11411.684999999999"/>
  </r>
  <r>
    <x v="45"/>
    <x v="1"/>
    <n v="30.97"/>
    <n v="3"/>
    <x v="1"/>
    <s v="northwest"/>
    <n v="10600.5483"/>
  </r>
  <r>
    <x v="1"/>
    <x v="0"/>
    <n v="31.92"/>
    <n v="0"/>
    <x v="1"/>
    <s v="northeast"/>
    <n v="2205.9807999999998"/>
  </r>
  <r>
    <x v="1"/>
    <x v="0"/>
    <n v="36.85"/>
    <n v="0"/>
    <x v="1"/>
    <s v="southeast"/>
    <n v="1629.8335"/>
  </r>
  <r>
    <x v="27"/>
    <x v="0"/>
    <n v="25.8"/>
    <n v="0"/>
    <x v="1"/>
    <s v="southwest"/>
    <n v="2007.9449999999999"/>
  </r>
  <r>
    <x v="35"/>
    <x v="0"/>
    <n v="29.07"/>
    <n v="0"/>
    <x v="0"/>
    <s v="northwest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810A3-CA32-478A-8FE8-8E7A8DDB109D}" name="Tabela dinâmica7" cacheId="531" applyNumberFormats="0" applyBorderFormats="0" applyFontFormats="0" applyPatternFormats="0" applyAlignmentFormats="0" applyWidthHeightFormats="1" dataCaption="Valores" grandTotalCaption="Overall Average" updatedVersion="8" minRefreshableVersion="3" useAutoFormatting="1" itemPrintTitles="1" createdVersion="8" indent="0" compact="0" compactData="0" multipleFieldFilters="0">
  <location ref="H7:I10" firstHeaderRow="1" firstDataRow="1" firstDataCol="1"/>
  <pivotFields count="7">
    <pivotField compact="0" outline="0" showAll="0"/>
    <pivotField compact="0" outline="0" showAll="0"/>
    <pivotField dataField="1" compact="0" outline="0" showAll="0"/>
    <pivotField compact="0" outline="0" showAll="0"/>
    <pivotField name="Smoker" axis="axisRow" compact="0" outline="0" showAll="0" sortType="descending">
      <items count="3">
        <item n="Yes" x="0"/>
        <item n="No" x="1"/>
        <item t="default"/>
      </items>
    </pivotField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BMI" fld="2" subtotal="average" baseField="0" baseItem="0" numFmtId="2"/>
  </dataFields>
  <formats count="13">
    <format dxfId="29">
      <pivotArea outline="0" collapsedLevelsAreSubtotals="1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4" type="button" dataOnly="0" labelOnly="1" outline="0" axis="axisRow" fieldPosition="0"/>
    </format>
    <format dxfId="33">
      <pivotArea dataOnly="0" labelOnly="1" outline="0" fieldPosition="0">
        <references count="1">
          <reference field="4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4" type="button" dataOnly="0" labelOnly="1" outline="0" axis="axisRow" fieldPosition="0"/>
    </format>
    <format dxfId="39">
      <pivotArea dataOnly="0" labelOnly="1" outline="0" fieldPosition="0">
        <references count="1">
          <reference field="4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0202B-F62A-4B1D-A811-F638DFCB3825}" name="Tabela dinâmica6" cacheId="531" applyNumberFormats="0" applyBorderFormats="0" applyFontFormats="0" applyPatternFormats="0" applyAlignmentFormats="0" applyWidthHeightFormats="1" dataCaption="Valores" grandTotalCaption="Overall Average" updatedVersion="8" minRefreshableVersion="3" useAutoFormatting="1" itemPrintTitles="1" createdVersion="8" indent="0" compact="0" compactData="0" multipleFieldFilters="0">
  <location ref="E7:F10" firstHeaderRow="1" firstDataRow="1" firstDataCol="1"/>
  <pivotFields count="7">
    <pivotField compact="0" outline="0" showAll="0"/>
    <pivotField name="Sex" axis="axisRow" compact="0" outline="0" showAll="0" sortType="descending">
      <items count="3">
        <item n="Male" x="1"/>
        <item n="Female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Medical Costs" fld="6" subtotal="average" baseField="0" baseItem="0" numFmtId="164"/>
  </dataFields>
  <formats count="16">
    <format dxfId="13">
      <pivotArea outline="0" collapsedLevelsAreSubtotals="1" fieldPosition="0"/>
    </format>
    <format dxfId="14">
      <pivotArea outline="0" fieldPosition="0">
        <references count="1">
          <reference field="1" count="1" selected="0">
            <x v="0"/>
          </reference>
        </references>
      </pivotArea>
    </format>
    <format dxfId="15">
      <pivotArea outline="0" fieldPosition="0">
        <references count="1">
          <reference field="1" count="1" selected="0">
            <x v="1"/>
          </reference>
        </references>
      </pivotArea>
    </format>
    <format dxfId="16">
      <pivotArea grandRow="1" outline="0" collapsedLevelsAreSubtotals="1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3CD26-2149-4F86-AD28-9D2402E6ED14}" name="Tabela dinâmica1" cacheId="531" applyNumberFormats="0" applyBorderFormats="0" applyFontFormats="0" applyPatternFormats="0" applyAlignmentFormats="0" applyWidthHeightFormats="1" dataCaption="Valores" grandTotalCaption="Overall Average" updatedVersion="8" minRefreshableVersion="3" useAutoFormatting="1" itemPrintTitles="1" createdVersion="8" indent="0" compact="0" compactData="0" multipleFieldFilters="0">
  <location ref="B7:C10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name="Smoker" axis="axisRow" compact="0" outline="0" showAll="0" sortType="descending">
      <items count="3">
        <item n="Yes" x="0"/>
        <item n="No" x="1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Medical Costs" fld="6" subtotal="average" baseField="0" baseItem="0" numFmtId="165"/>
  </dataFields>
  <formats count="13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4" type="button" dataOnly="0" labelOnly="1" outline="0" axis="axisRow" fieldPosition="0"/>
    </format>
    <format dxfId="10">
      <pivotArea dataOnly="0" labelOnly="1" outline="0" fieldPosition="0">
        <references count="1">
          <reference field="4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D93A-9670-4FA5-BEFF-E30A1551617A}">
  <dimension ref="A1:G133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FB1A-089D-435E-87F8-D49C92AAE754}">
  <dimension ref="B1:X55"/>
  <sheetViews>
    <sheetView showGridLines="0" showRowColHeaders="0" tabSelected="1" workbookViewId="0"/>
  </sheetViews>
  <sheetFormatPr defaultRowHeight="15"/>
  <cols>
    <col min="2" max="2" width="16.28515625" customWidth="1"/>
    <col min="3" max="3" width="20.7109375" customWidth="1"/>
    <col min="4" max="4" width="12.28515625" bestFit="1" customWidth="1"/>
    <col min="5" max="5" width="15" bestFit="1" customWidth="1"/>
    <col min="6" max="6" width="21" bestFit="1" customWidth="1"/>
    <col min="7" max="7" width="12.28515625" customWidth="1"/>
    <col min="8" max="8" width="16.7109375" customWidth="1"/>
    <col min="9" max="9" width="22.28515625" bestFit="1" customWidth="1"/>
    <col min="10" max="10" width="16.28515625" customWidth="1"/>
    <col min="11" max="12" width="10.140625" bestFit="1" customWidth="1"/>
    <col min="13" max="13" width="36.5703125" bestFit="1" customWidth="1"/>
    <col min="14" max="14" width="8" bestFit="1" customWidth="1"/>
    <col min="15" max="21" width="9" bestFit="1" customWidth="1"/>
    <col min="22" max="23" width="10.140625" bestFit="1" customWidth="1"/>
    <col min="24" max="24" width="9" bestFit="1" customWidth="1"/>
    <col min="25" max="31" width="10.140625" bestFit="1" customWidth="1"/>
    <col min="32" max="33" width="11.140625" bestFit="1" customWidth="1"/>
    <col min="34" max="37" width="10.140625" bestFit="1" customWidth="1"/>
    <col min="38" max="39" width="11.140625" bestFit="1" customWidth="1"/>
    <col min="40" max="42" width="10.140625" bestFit="1" customWidth="1"/>
    <col min="43" max="43" width="11.140625" bestFit="1" customWidth="1"/>
    <col min="44" max="47" width="10.140625" bestFit="1" customWidth="1"/>
    <col min="48" max="48" width="9" bestFit="1" customWidth="1"/>
    <col min="49" max="51" width="10.140625" bestFit="1" customWidth="1"/>
    <col min="52" max="52" width="11.140625" bestFit="1" customWidth="1"/>
    <col min="53" max="54" width="10.140625" bestFit="1" customWidth="1"/>
    <col min="55" max="55" width="11.140625" bestFit="1" customWidth="1"/>
    <col min="56" max="56" width="10.140625" bestFit="1" customWidth="1"/>
    <col min="57" max="57" width="9" bestFit="1" customWidth="1"/>
    <col min="58" max="60" width="10.140625" bestFit="1" customWidth="1"/>
    <col min="61" max="61" width="8" bestFit="1" customWidth="1"/>
    <col min="62" max="69" width="9" bestFit="1" customWidth="1"/>
    <col min="70" max="70" width="11.140625" bestFit="1" customWidth="1"/>
    <col min="71" max="72" width="10.140625" bestFit="1" customWidth="1"/>
    <col min="73" max="75" width="9" bestFit="1" customWidth="1"/>
    <col min="76" max="76" width="10.140625" bestFit="1" customWidth="1"/>
    <col min="77" max="78" width="9" bestFit="1" customWidth="1"/>
    <col min="79" max="79" width="10.140625" bestFit="1" customWidth="1"/>
    <col min="80" max="80" width="8" bestFit="1" customWidth="1"/>
    <col min="81" max="81" width="9" bestFit="1" customWidth="1"/>
    <col min="82" max="83" width="11.140625" bestFit="1" customWidth="1"/>
    <col min="84" max="84" width="10.140625" bestFit="1" customWidth="1"/>
    <col min="85" max="85" width="8" bestFit="1" customWidth="1"/>
    <col min="86" max="86" width="10.140625" bestFit="1" customWidth="1"/>
    <col min="87" max="87" width="9" bestFit="1" customWidth="1"/>
    <col min="88" max="88" width="8" bestFit="1" customWidth="1"/>
    <col min="89" max="89" width="9" bestFit="1" customWidth="1"/>
    <col min="90" max="90" width="8" bestFit="1" customWidth="1"/>
    <col min="91" max="93" width="10.140625" bestFit="1" customWidth="1"/>
    <col min="94" max="95" width="9" bestFit="1" customWidth="1"/>
    <col min="96" max="97" width="10.140625" bestFit="1" customWidth="1"/>
    <col min="98" max="98" width="11.140625" bestFit="1" customWidth="1"/>
    <col min="99" max="100" width="10.140625" bestFit="1" customWidth="1"/>
    <col min="101" max="101" width="8" bestFit="1" customWidth="1"/>
    <col min="102" max="102" width="10.140625" bestFit="1" customWidth="1"/>
    <col min="103" max="104" width="11.140625" bestFit="1" customWidth="1"/>
    <col min="105" max="106" width="10.140625" bestFit="1" customWidth="1"/>
    <col min="107" max="107" width="11.140625" bestFit="1" customWidth="1"/>
    <col min="108" max="109" width="10.140625" bestFit="1" customWidth="1"/>
    <col min="110" max="111" width="9" bestFit="1" customWidth="1"/>
    <col min="112" max="113" width="10.140625" bestFit="1" customWidth="1"/>
    <col min="114" max="114" width="9" bestFit="1" customWidth="1"/>
    <col min="115" max="115" width="10.140625" bestFit="1" customWidth="1"/>
    <col min="116" max="117" width="11.140625" bestFit="1" customWidth="1"/>
    <col min="118" max="118" width="10.140625" bestFit="1" customWidth="1"/>
    <col min="119" max="120" width="11.140625" bestFit="1" customWidth="1"/>
    <col min="121" max="121" width="10.140625" bestFit="1" customWidth="1"/>
    <col min="122" max="124" width="11.140625" bestFit="1" customWidth="1"/>
    <col min="125" max="126" width="10.140625" bestFit="1" customWidth="1"/>
    <col min="127" max="127" width="11.140625" bestFit="1" customWidth="1"/>
    <col min="128" max="129" width="10.140625" bestFit="1" customWidth="1"/>
    <col min="130" max="130" width="11.140625" bestFit="1" customWidth="1"/>
    <col min="131" max="131" width="10.140625" bestFit="1" customWidth="1"/>
    <col min="132" max="132" width="6.85546875" bestFit="1" customWidth="1"/>
    <col min="133" max="134" width="10.140625" bestFit="1" customWidth="1"/>
    <col min="135" max="135" width="9" bestFit="1" customWidth="1"/>
    <col min="136" max="138" width="11.140625" bestFit="1" customWidth="1"/>
    <col min="139" max="140" width="10.140625" bestFit="1" customWidth="1"/>
    <col min="141" max="141" width="9" bestFit="1" customWidth="1"/>
    <col min="142" max="142" width="10.140625" bestFit="1" customWidth="1"/>
    <col min="143" max="143" width="11.140625" bestFit="1" customWidth="1"/>
    <col min="144" max="144" width="9" bestFit="1" customWidth="1"/>
    <col min="145" max="148" width="10.140625" bestFit="1" customWidth="1"/>
    <col min="149" max="150" width="9" bestFit="1" customWidth="1"/>
    <col min="151" max="153" width="10.140625" bestFit="1" customWidth="1"/>
    <col min="154" max="155" width="11.140625" bestFit="1" customWidth="1"/>
    <col min="156" max="156" width="10.140625" bestFit="1" customWidth="1"/>
    <col min="157" max="157" width="9" bestFit="1" customWidth="1"/>
    <col min="158" max="158" width="11.140625" bestFit="1" customWidth="1"/>
    <col min="159" max="160" width="9" bestFit="1" customWidth="1"/>
    <col min="161" max="165" width="10.140625" bestFit="1" customWidth="1"/>
    <col min="166" max="166" width="11.140625" bestFit="1" customWidth="1"/>
    <col min="167" max="167" width="10.140625" bestFit="1" customWidth="1"/>
    <col min="168" max="170" width="11.140625" bestFit="1" customWidth="1"/>
    <col min="171" max="172" width="10.140625" bestFit="1" customWidth="1"/>
    <col min="173" max="173" width="11.140625" bestFit="1" customWidth="1"/>
    <col min="174" max="174" width="10.140625" bestFit="1" customWidth="1"/>
    <col min="175" max="175" width="9" bestFit="1" customWidth="1"/>
    <col min="176" max="177" width="11.140625" bestFit="1" customWidth="1"/>
    <col min="178" max="179" width="10.140625" bestFit="1" customWidth="1"/>
    <col min="180" max="183" width="11.140625" bestFit="1" customWidth="1"/>
    <col min="184" max="184" width="9" bestFit="1" customWidth="1"/>
    <col min="185" max="186" width="10.140625" bestFit="1" customWidth="1"/>
    <col min="187" max="187" width="11.140625" bestFit="1" customWidth="1"/>
    <col min="188" max="188" width="10.140625" bestFit="1" customWidth="1"/>
    <col min="189" max="190" width="9" bestFit="1" customWidth="1"/>
    <col min="191" max="191" width="10.140625" bestFit="1" customWidth="1"/>
    <col min="192" max="192" width="9" bestFit="1" customWidth="1"/>
    <col min="193" max="193" width="11.140625" bestFit="1" customWidth="1"/>
    <col min="194" max="194" width="10.140625" bestFit="1" customWidth="1"/>
    <col min="195" max="195" width="9" bestFit="1" customWidth="1"/>
    <col min="196" max="196" width="10.140625" bestFit="1" customWidth="1"/>
    <col min="197" max="197" width="11.140625" bestFit="1" customWidth="1"/>
    <col min="198" max="199" width="10.140625" bestFit="1" customWidth="1"/>
    <col min="200" max="200" width="9" bestFit="1" customWidth="1"/>
    <col min="201" max="201" width="11.140625" bestFit="1" customWidth="1"/>
    <col min="202" max="202" width="10.140625" bestFit="1" customWidth="1"/>
    <col min="203" max="203" width="9" bestFit="1" customWidth="1"/>
    <col min="204" max="206" width="10.140625" bestFit="1" customWidth="1"/>
    <col min="207" max="208" width="11.140625" bestFit="1" customWidth="1"/>
    <col min="209" max="209" width="9" bestFit="1" customWidth="1"/>
    <col min="210" max="210" width="11.140625" bestFit="1" customWidth="1"/>
    <col min="211" max="212" width="10.140625" bestFit="1" customWidth="1"/>
    <col min="213" max="213" width="9" bestFit="1" customWidth="1"/>
    <col min="214" max="214" width="11.140625" bestFit="1" customWidth="1"/>
    <col min="215" max="215" width="9" bestFit="1" customWidth="1"/>
    <col min="216" max="217" width="11.140625" bestFit="1" customWidth="1"/>
    <col min="218" max="218" width="10.140625" bestFit="1" customWidth="1"/>
    <col min="219" max="219" width="9" bestFit="1" customWidth="1"/>
    <col min="220" max="221" width="10.140625" bestFit="1" customWidth="1"/>
    <col min="222" max="222" width="8" bestFit="1" customWidth="1"/>
    <col min="223" max="223" width="11.140625" bestFit="1" customWidth="1"/>
    <col min="224" max="225" width="10.140625" bestFit="1" customWidth="1"/>
    <col min="226" max="226" width="11.140625" bestFit="1" customWidth="1"/>
    <col min="227" max="228" width="9" bestFit="1" customWidth="1"/>
    <col min="229" max="229" width="10.140625" bestFit="1" customWidth="1"/>
    <col min="230" max="231" width="9" bestFit="1" customWidth="1"/>
    <col min="232" max="233" width="10.140625" bestFit="1" customWidth="1"/>
    <col min="234" max="235" width="9" bestFit="1" customWidth="1"/>
    <col min="236" max="236" width="10.140625" bestFit="1" customWidth="1"/>
    <col min="237" max="237" width="11.140625" bestFit="1" customWidth="1"/>
    <col min="238" max="238" width="10.140625" bestFit="1" customWidth="1"/>
    <col min="239" max="239" width="9" bestFit="1" customWidth="1"/>
    <col min="240" max="240" width="10.140625" bestFit="1" customWidth="1"/>
    <col min="241" max="241" width="8" bestFit="1" customWidth="1"/>
    <col min="242" max="242" width="11.140625" bestFit="1" customWidth="1"/>
    <col min="243" max="243" width="9" bestFit="1" customWidth="1"/>
    <col min="244" max="244" width="10.140625" bestFit="1" customWidth="1"/>
    <col min="245" max="246" width="9" bestFit="1" customWidth="1"/>
    <col min="247" max="251" width="10.140625" bestFit="1" customWidth="1"/>
    <col min="252" max="252" width="9" bestFit="1" customWidth="1"/>
    <col min="253" max="253" width="10.140625" bestFit="1" customWidth="1"/>
    <col min="254" max="254" width="9" bestFit="1" customWidth="1"/>
    <col min="255" max="256" width="11.140625" bestFit="1" customWidth="1"/>
    <col min="257" max="258" width="10.140625" bestFit="1" customWidth="1"/>
    <col min="259" max="259" width="11.140625" bestFit="1" customWidth="1"/>
    <col min="260" max="260" width="9" bestFit="1" customWidth="1"/>
    <col min="261" max="264" width="10.140625" bestFit="1" customWidth="1"/>
    <col min="265" max="265" width="11.140625" bestFit="1" customWidth="1"/>
    <col min="266" max="267" width="10.140625" bestFit="1" customWidth="1"/>
    <col min="268" max="269" width="9" bestFit="1" customWidth="1"/>
    <col min="270" max="272" width="10.140625" bestFit="1" customWidth="1"/>
    <col min="273" max="273" width="11.140625" bestFit="1" customWidth="1"/>
    <col min="274" max="274" width="10.140625" bestFit="1" customWidth="1"/>
    <col min="275" max="275" width="11.140625" bestFit="1" customWidth="1"/>
    <col min="276" max="276" width="10.140625" bestFit="1" customWidth="1"/>
    <col min="277" max="277" width="9" bestFit="1" customWidth="1"/>
    <col min="278" max="279" width="11.140625" bestFit="1" customWidth="1"/>
    <col min="280" max="280" width="10.140625" bestFit="1" customWidth="1"/>
    <col min="281" max="281" width="9" bestFit="1" customWidth="1"/>
    <col min="282" max="284" width="10.140625" bestFit="1" customWidth="1"/>
    <col min="285" max="285" width="9" bestFit="1" customWidth="1"/>
    <col min="286" max="288" width="11.140625" bestFit="1" customWidth="1"/>
    <col min="289" max="289" width="9" bestFit="1" customWidth="1"/>
    <col min="290" max="291" width="10.140625" bestFit="1" customWidth="1"/>
    <col min="292" max="292" width="11.140625" bestFit="1" customWidth="1"/>
    <col min="293" max="294" width="10.140625" bestFit="1" customWidth="1"/>
    <col min="295" max="295" width="11.140625" bestFit="1" customWidth="1"/>
    <col min="296" max="296" width="9" bestFit="1" customWidth="1"/>
    <col min="297" max="297" width="10.140625" bestFit="1" customWidth="1"/>
    <col min="298" max="298" width="11.140625" bestFit="1" customWidth="1"/>
    <col min="299" max="301" width="9" bestFit="1" customWidth="1"/>
    <col min="302" max="302" width="10.140625" bestFit="1" customWidth="1"/>
    <col min="303" max="303" width="11.140625" bestFit="1" customWidth="1"/>
    <col min="304" max="307" width="10.140625" bestFit="1" customWidth="1"/>
    <col min="308" max="308" width="11.140625" bestFit="1" customWidth="1"/>
    <col min="309" max="309" width="9" bestFit="1" customWidth="1"/>
    <col min="310" max="310" width="11.140625" bestFit="1" customWidth="1"/>
    <col min="311" max="313" width="10.140625" bestFit="1" customWidth="1"/>
    <col min="314" max="314" width="11.140625" bestFit="1" customWidth="1"/>
    <col min="315" max="315" width="10.140625" bestFit="1" customWidth="1"/>
    <col min="316" max="317" width="11.140625" bestFit="1" customWidth="1"/>
    <col min="318" max="319" width="9" bestFit="1" customWidth="1"/>
    <col min="320" max="322" width="10.140625" bestFit="1" customWidth="1"/>
    <col min="323" max="324" width="11.140625" bestFit="1" customWidth="1"/>
    <col min="325" max="325" width="10.140625" bestFit="1" customWidth="1"/>
    <col min="326" max="326" width="9" bestFit="1" customWidth="1"/>
    <col min="327" max="328" width="11.140625" bestFit="1" customWidth="1"/>
    <col min="329" max="329" width="8" bestFit="1" customWidth="1"/>
    <col min="330" max="331" width="10.140625" bestFit="1" customWidth="1"/>
    <col min="332" max="332" width="9" bestFit="1" customWidth="1"/>
    <col min="333" max="335" width="11.140625" bestFit="1" customWidth="1"/>
    <col min="336" max="336" width="10.140625" bestFit="1" customWidth="1"/>
    <col min="337" max="337" width="9" bestFit="1" customWidth="1"/>
    <col min="338" max="338" width="10.140625" bestFit="1" customWidth="1"/>
    <col min="339" max="339" width="8" bestFit="1" customWidth="1"/>
    <col min="340" max="340" width="10.140625" bestFit="1" customWidth="1"/>
    <col min="341" max="342" width="9" bestFit="1" customWidth="1"/>
    <col min="343" max="344" width="10.140625" bestFit="1" customWidth="1"/>
    <col min="345" max="345" width="11.140625" bestFit="1" customWidth="1"/>
    <col min="346" max="346" width="8" bestFit="1" customWidth="1"/>
    <col min="347" max="347" width="10.140625" bestFit="1" customWidth="1"/>
    <col min="348" max="349" width="11.140625" bestFit="1" customWidth="1"/>
    <col min="350" max="350" width="9" bestFit="1" customWidth="1"/>
    <col min="351" max="353" width="10.140625" bestFit="1" customWidth="1"/>
    <col min="354" max="355" width="11.140625" bestFit="1" customWidth="1"/>
    <col min="356" max="356" width="10.140625" bestFit="1" customWidth="1"/>
    <col min="357" max="358" width="9" bestFit="1" customWidth="1"/>
    <col min="359" max="361" width="10.140625" bestFit="1" customWidth="1"/>
    <col min="362" max="363" width="9" bestFit="1" customWidth="1"/>
    <col min="364" max="364" width="10.140625" bestFit="1" customWidth="1"/>
    <col min="365" max="365" width="11.140625" bestFit="1" customWidth="1"/>
    <col min="366" max="366" width="9" bestFit="1" customWidth="1"/>
    <col min="367" max="371" width="10.140625" bestFit="1" customWidth="1"/>
    <col min="372" max="372" width="9" bestFit="1" customWidth="1"/>
    <col min="373" max="374" width="11.140625" bestFit="1" customWidth="1"/>
    <col min="375" max="375" width="9" bestFit="1" customWidth="1"/>
    <col min="376" max="376" width="10.140625" bestFit="1" customWidth="1"/>
    <col min="377" max="378" width="9" bestFit="1" customWidth="1"/>
    <col min="379" max="380" width="11.140625" bestFit="1" customWidth="1"/>
    <col min="381" max="381" width="10.140625" bestFit="1" customWidth="1"/>
    <col min="382" max="382" width="11.140625" bestFit="1" customWidth="1"/>
    <col min="383" max="383" width="10.140625" bestFit="1" customWidth="1"/>
    <col min="384" max="384" width="11.140625" bestFit="1" customWidth="1"/>
    <col min="385" max="385" width="9" bestFit="1" customWidth="1"/>
    <col min="386" max="388" width="11.140625" bestFit="1" customWidth="1"/>
    <col min="389" max="389" width="9" bestFit="1" customWidth="1"/>
    <col min="390" max="390" width="10.140625" bestFit="1" customWidth="1"/>
    <col min="391" max="391" width="9" bestFit="1" customWidth="1"/>
    <col min="392" max="395" width="10.140625" bestFit="1" customWidth="1"/>
    <col min="396" max="396" width="11.140625" bestFit="1" customWidth="1"/>
    <col min="397" max="398" width="10.140625" bestFit="1" customWidth="1"/>
    <col min="399" max="399" width="11.140625" bestFit="1" customWidth="1"/>
    <col min="400" max="400" width="10.140625" bestFit="1" customWidth="1"/>
    <col min="401" max="401" width="9" bestFit="1" customWidth="1"/>
    <col min="402" max="403" width="10.140625" bestFit="1" customWidth="1"/>
    <col min="404" max="404" width="9" bestFit="1" customWidth="1"/>
    <col min="405" max="406" width="10.140625" bestFit="1" customWidth="1"/>
    <col min="407" max="407" width="9" bestFit="1" customWidth="1"/>
    <col min="408" max="408" width="11.140625" bestFit="1" customWidth="1"/>
    <col min="409" max="410" width="9" bestFit="1" customWidth="1"/>
    <col min="411" max="412" width="10.140625" bestFit="1" customWidth="1"/>
    <col min="413" max="413" width="9" bestFit="1" customWidth="1"/>
    <col min="414" max="415" width="10.140625" bestFit="1" customWidth="1"/>
    <col min="416" max="416" width="11.140625" bestFit="1" customWidth="1"/>
    <col min="417" max="419" width="10.140625" bestFit="1" customWidth="1"/>
    <col min="420" max="420" width="9" bestFit="1" customWidth="1"/>
    <col min="421" max="421" width="10.140625" bestFit="1" customWidth="1"/>
    <col min="422" max="422" width="9" bestFit="1" customWidth="1"/>
    <col min="423" max="424" width="10.140625" bestFit="1" customWidth="1"/>
    <col min="425" max="426" width="9" bestFit="1" customWidth="1"/>
    <col min="427" max="428" width="10.140625" bestFit="1" customWidth="1"/>
    <col min="429" max="429" width="9" bestFit="1" customWidth="1"/>
    <col min="430" max="430" width="11.140625" bestFit="1" customWidth="1"/>
    <col min="431" max="431" width="9" bestFit="1" customWidth="1"/>
    <col min="432" max="432" width="11.140625" bestFit="1" customWidth="1"/>
    <col min="433" max="433" width="10.140625" bestFit="1" customWidth="1"/>
    <col min="434" max="434" width="9" bestFit="1" customWidth="1"/>
    <col min="435" max="436" width="11.140625" bestFit="1" customWidth="1"/>
    <col min="437" max="438" width="10.140625" bestFit="1" customWidth="1"/>
    <col min="439" max="439" width="11.140625" bestFit="1" customWidth="1"/>
    <col min="440" max="441" width="10.140625" bestFit="1" customWidth="1"/>
    <col min="442" max="443" width="9" bestFit="1" customWidth="1"/>
    <col min="444" max="444" width="10.140625" bestFit="1" customWidth="1"/>
    <col min="445" max="445" width="11.140625" bestFit="1" customWidth="1"/>
    <col min="446" max="447" width="9" bestFit="1" customWidth="1"/>
    <col min="448" max="448" width="10.140625" bestFit="1" customWidth="1"/>
    <col min="449" max="449" width="9" bestFit="1" customWidth="1"/>
    <col min="450" max="450" width="10.140625" bestFit="1" customWidth="1"/>
    <col min="451" max="452" width="9" bestFit="1" customWidth="1"/>
    <col min="453" max="453" width="11.140625" bestFit="1" customWidth="1"/>
    <col min="454" max="455" width="10.140625" bestFit="1" customWidth="1"/>
    <col min="456" max="456" width="11.140625" bestFit="1" customWidth="1"/>
    <col min="457" max="457" width="10.140625" bestFit="1" customWidth="1"/>
    <col min="458" max="461" width="11.140625" bestFit="1" customWidth="1"/>
    <col min="462" max="462" width="10.140625" bestFit="1" customWidth="1"/>
    <col min="463" max="463" width="9" bestFit="1" customWidth="1"/>
    <col min="464" max="464" width="10.140625" bestFit="1" customWidth="1"/>
    <col min="465" max="465" width="11.140625" bestFit="1" customWidth="1"/>
    <col min="466" max="466" width="10.140625" bestFit="1" customWidth="1"/>
    <col min="467" max="468" width="9" bestFit="1" customWidth="1"/>
    <col min="469" max="469" width="10.140625" bestFit="1" customWidth="1"/>
    <col min="470" max="470" width="11.140625" bestFit="1" customWidth="1"/>
    <col min="471" max="471" width="10.140625" bestFit="1" customWidth="1"/>
    <col min="472" max="473" width="11.140625" bestFit="1" customWidth="1"/>
    <col min="474" max="474" width="9" bestFit="1" customWidth="1"/>
    <col min="475" max="475" width="10.140625" bestFit="1" customWidth="1"/>
    <col min="476" max="476" width="11.140625" bestFit="1" customWidth="1"/>
    <col min="477" max="477" width="9" bestFit="1" customWidth="1"/>
    <col min="478" max="478" width="10.140625" bestFit="1" customWidth="1"/>
    <col min="479" max="479" width="11.140625" bestFit="1" customWidth="1"/>
    <col min="480" max="481" width="10.140625" bestFit="1" customWidth="1"/>
    <col min="482" max="482" width="11.140625" bestFit="1" customWidth="1"/>
    <col min="483" max="483" width="9" bestFit="1" customWidth="1"/>
    <col min="484" max="487" width="10.140625" bestFit="1" customWidth="1"/>
    <col min="488" max="488" width="9" bestFit="1" customWidth="1"/>
    <col min="489" max="489" width="10.140625" bestFit="1" customWidth="1"/>
    <col min="490" max="490" width="9" bestFit="1" customWidth="1"/>
    <col min="491" max="491" width="10.140625" bestFit="1" customWidth="1"/>
    <col min="492" max="492" width="11.140625" bestFit="1" customWidth="1"/>
    <col min="493" max="493" width="9" bestFit="1" customWidth="1"/>
    <col min="494" max="494" width="10.140625" bestFit="1" customWidth="1"/>
    <col min="495" max="495" width="9" bestFit="1" customWidth="1"/>
    <col min="496" max="496" width="10.140625" bestFit="1" customWidth="1"/>
    <col min="497" max="497" width="9" bestFit="1" customWidth="1"/>
    <col min="498" max="498" width="10.140625" bestFit="1" customWidth="1"/>
    <col min="499" max="500" width="11.140625" bestFit="1" customWidth="1"/>
    <col min="501" max="501" width="10.140625" bestFit="1" customWidth="1"/>
    <col min="502" max="502" width="11.140625" bestFit="1" customWidth="1"/>
    <col min="503" max="504" width="9" bestFit="1" customWidth="1"/>
    <col min="505" max="506" width="10.140625" bestFit="1" customWidth="1"/>
    <col min="507" max="507" width="9" bestFit="1" customWidth="1"/>
    <col min="508" max="509" width="10.140625" bestFit="1" customWidth="1"/>
    <col min="510" max="510" width="11.140625" bestFit="1" customWidth="1"/>
    <col min="511" max="511" width="9" bestFit="1" customWidth="1"/>
    <col min="512" max="512" width="10.140625" bestFit="1" customWidth="1"/>
    <col min="513" max="513" width="9" bestFit="1" customWidth="1"/>
    <col min="514" max="515" width="10.140625" bestFit="1" customWidth="1"/>
    <col min="516" max="516" width="9" bestFit="1" customWidth="1"/>
    <col min="517" max="518" width="10.140625" bestFit="1" customWidth="1"/>
    <col min="519" max="519" width="11.140625" bestFit="1" customWidth="1"/>
    <col min="520" max="520" width="9" bestFit="1" customWidth="1"/>
    <col min="521" max="521" width="11.140625" bestFit="1" customWidth="1"/>
    <col min="522" max="522" width="10.140625" bestFit="1" customWidth="1"/>
    <col min="523" max="524" width="11.140625" bestFit="1" customWidth="1"/>
    <col min="525" max="526" width="10.140625" bestFit="1" customWidth="1"/>
    <col min="527" max="527" width="9" bestFit="1" customWidth="1"/>
    <col min="528" max="529" width="10.140625" bestFit="1" customWidth="1"/>
    <col min="530" max="530" width="12.28515625" bestFit="1" customWidth="1"/>
    <col min="531" max="531" width="10.140625" bestFit="1" customWidth="1"/>
    <col min="532" max="533" width="9" bestFit="1" customWidth="1"/>
    <col min="534" max="534" width="10.140625" bestFit="1" customWidth="1"/>
    <col min="535" max="535" width="9" bestFit="1" customWidth="1"/>
    <col min="536" max="536" width="11.140625" bestFit="1" customWidth="1"/>
    <col min="537" max="538" width="9" bestFit="1" customWidth="1"/>
    <col min="539" max="539" width="10.140625" bestFit="1" customWidth="1"/>
    <col min="540" max="540" width="11.140625" bestFit="1" customWidth="1"/>
    <col min="541" max="542" width="9" bestFit="1" customWidth="1"/>
    <col min="543" max="543" width="11.140625" bestFit="1" customWidth="1"/>
    <col min="544" max="544" width="9" bestFit="1" customWidth="1"/>
    <col min="545" max="545" width="11.140625" bestFit="1" customWidth="1"/>
    <col min="546" max="546" width="9" bestFit="1" customWidth="1"/>
    <col min="547" max="548" width="11.140625" bestFit="1" customWidth="1"/>
    <col min="549" max="549" width="10.140625" bestFit="1" customWidth="1"/>
    <col min="550" max="550" width="9" bestFit="1" customWidth="1"/>
    <col min="551" max="551" width="8" bestFit="1" customWidth="1"/>
    <col min="552" max="552" width="9" bestFit="1" customWidth="1"/>
    <col min="553" max="553" width="10.140625" bestFit="1" customWidth="1"/>
    <col min="554" max="554" width="11.140625" bestFit="1" customWidth="1"/>
    <col min="555" max="555" width="10.140625" bestFit="1" customWidth="1"/>
    <col min="556" max="556" width="11.140625" bestFit="1" customWidth="1"/>
    <col min="557" max="557" width="8" bestFit="1" customWidth="1"/>
    <col min="558" max="558" width="9" bestFit="1" customWidth="1"/>
    <col min="559" max="559" width="10.140625" bestFit="1" customWidth="1"/>
    <col min="560" max="560" width="11.140625" bestFit="1" customWidth="1"/>
    <col min="561" max="561" width="10.140625" bestFit="1" customWidth="1"/>
    <col min="562" max="562" width="11.140625" bestFit="1" customWidth="1"/>
    <col min="563" max="563" width="9" bestFit="1" customWidth="1"/>
    <col min="564" max="565" width="10.140625" bestFit="1" customWidth="1"/>
    <col min="566" max="566" width="9" bestFit="1" customWidth="1"/>
    <col min="567" max="567" width="10.140625" bestFit="1" customWidth="1"/>
    <col min="568" max="568" width="11.140625" bestFit="1" customWidth="1"/>
    <col min="569" max="570" width="9" bestFit="1" customWidth="1"/>
    <col min="571" max="573" width="11.140625" bestFit="1" customWidth="1"/>
    <col min="574" max="574" width="10.140625" bestFit="1" customWidth="1"/>
    <col min="575" max="575" width="9" bestFit="1" customWidth="1"/>
    <col min="576" max="576" width="10.140625" bestFit="1" customWidth="1"/>
    <col min="577" max="578" width="9" bestFit="1" customWidth="1"/>
    <col min="579" max="579" width="10.140625" bestFit="1" customWidth="1"/>
    <col min="580" max="580" width="11.140625" bestFit="1" customWidth="1"/>
    <col min="581" max="581" width="8" bestFit="1" customWidth="1"/>
    <col min="582" max="583" width="10.140625" bestFit="1" customWidth="1"/>
    <col min="584" max="584" width="11.140625" bestFit="1" customWidth="1"/>
    <col min="585" max="590" width="10.140625" bestFit="1" customWidth="1"/>
    <col min="591" max="592" width="9" bestFit="1" customWidth="1"/>
    <col min="593" max="594" width="10.140625" bestFit="1" customWidth="1"/>
    <col min="595" max="597" width="11.140625" bestFit="1" customWidth="1"/>
    <col min="598" max="598" width="10.140625" bestFit="1" customWidth="1"/>
    <col min="599" max="599" width="11.140625" bestFit="1" customWidth="1"/>
    <col min="600" max="600" width="10.140625" bestFit="1" customWidth="1"/>
    <col min="601" max="602" width="11.140625" bestFit="1" customWidth="1"/>
    <col min="603" max="603" width="10.140625" bestFit="1" customWidth="1"/>
    <col min="604" max="606" width="9" bestFit="1" customWidth="1"/>
    <col min="607" max="607" width="10.140625" bestFit="1" customWidth="1"/>
    <col min="608" max="611" width="9" bestFit="1" customWidth="1"/>
    <col min="612" max="612" width="10.140625" bestFit="1" customWidth="1"/>
    <col min="613" max="613" width="11.140625" bestFit="1" customWidth="1"/>
    <col min="614" max="614" width="9" bestFit="1" customWidth="1"/>
    <col min="615" max="615" width="10.140625" bestFit="1" customWidth="1"/>
    <col min="616" max="617" width="9" bestFit="1" customWidth="1"/>
    <col min="618" max="622" width="10.140625" bestFit="1" customWidth="1"/>
    <col min="623" max="623" width="11.140625" bestFit="1" customWidth="1"/>
    <col min="624" max="625" width="10.140625" bestFit="1" customWidth="1"/>
    <col min="626" max="626" width="6.85546875" bestFit="1" customWidth="1"/>
    <col min="627" max="627" width="10.140625" bestFit="1" customWidth="1"/>
    <col min="628" max="629" width="11.140625" bestFit="1" customWidth="1"/>
    <col min="630" max="630" width="9" bestFit="1" customWidth="1"/>
    <col min="631" max="631" width="11.140625" bestFit="1" customWidth="1"/>
    <col min="632" max="635" width="9" bestFit="1" customWidth="1"/>
    <col min="636" max="636" width="11.140625" bestFit="1" customWidth="1"/>
    <col min="637" max="637" width="9" bestFit="1" customWidth="1"/>
    <col min="638" max="638" width="10.140625" bestFit="1" customWidth="1"/>
    <col min="639" max="639" width="11.140625" bestFit="1" customWidth="1"/>
    <col min="640" max="641" width="10.140625" bestFit="1" customWidth="1"/>
    <col min="642" max="642" width="11.140625" bestFit="1" customWidth="1"/>
    <col min="643" max="643" width="9" bestFit="1" customWidth="1"/>
    <col min="644" max="644" width="10.140625" bestFit="1" customWidth="1"/>
    <col min="645" max="646" width="11.140625" bestFit="1" customWidth="1"/>
    <col min="647" max="647" width="8" bestFit="1" customWidth="1"/>
    <col min="648" max="648" width="10.140625" bestFit="1" customWidth="1"/>
    <col min="649" max="649" width="11.140625" bestFit="1" customWidth="1"/>
    <col min="650" max="651" width="10.140625" bestFit="1" customWidth="1"/>
    <col min="652" max="652" width="11.140625" bestFit="1" customWidth="1"/>
    <col min="653" max="655" width="9" bestFit="1" customWidth="1"/>
    <col min="656" max="656" width="11.140625" bestFit="1" customWidth="1"/>
    <col min="657" max="657" width="8" bestFit="1" customWidth="1"/>
    <col min="658" max="661" width="10.140625" bestFit="1" customWidth="1"/>
    <col min="662" max="662" width="9" bestFit="1" customWidth="1"/>
    <col min="663" max="663" width="10.140625" bestFit="1" customWidth="1"/>
    <col min="664" max="664" width="9" bestFit="1" customWidth="1"/>
    <col min="665" max="666" width="10.140625" bestFit="1" customWidth="1"/>
    <col min="667" max="667" width="11.140625" bestFit="1" customWidth="1"/>
    <col min="668" max="671" width="10.140625" bestFit="1" customWidth="1"/>
    <col min="672" max="673" width="9" bestFit="1" customWidth="1"/>
    <col min="674" max="674" width="8" bestFit="1" customWidth="1"/>
    <col min="675" max="675" width="10.140625" bestFit="1" customWidth="1"/>
    <col min="676" max="676" width="11.140625" bestFit="1" customWidth="1"/>
    <col min="677" max="678" width="10.140625" bestFit="1" customWidth="1"/>
    <col min="679" max="679" width="11.140625" bestFit="1" customWidth="1"/>
    <col min="680" max="680" width="10.140625" bestFit="1" customWidth="1"/>
    <col min="681" max="681" width="11.140625" bestFit="1" customWidth="1"/>
    <col min="682" max="682" width="10.140625" bestFit="1" customWidth="1"/>
    <col min="683" max="683" width="9" bestFit="1" customWidth="1"/>
    <col min="684" max="685" width="10.140625" bestFit="1" customWidth="1"/>
    <col min="686" max="686" width="11.140625" bestFit="1" customWidth="1"/>
    <col min="687" max="687" width="10.140625" bestFit="1" customWidth="1"/>
    <col min="688" max="688" width="8" bestFit="1" customWidth="1"/>
    <col min="689" max="690" width="9" bestFit="1" customWidth="1"/>
    <col min="691" max="691" width="10.140625" bestFit="1" customWidth="1"/>
    <col min="692" max="692" width="11.140625" bestFit="1" customWidth="1"/>
    <col min="693" max="693" width="9" bestFit="1" customWidth="1"/>
    <col min="694" max="694" width="10.140625" bestFit="1" customWidth="1"/>
    <col min="695" max="695" width="8" bestFit="1" customWidth="1"/>
    <col min="696" max="699" width="10.140625" bestFit="1" customWidth="1"/>
    <col min="700" max="700" width="9" bestFit="1" customWidth="1"/>
    <col min="701" max="701" width="10.140625" bestFit="1" customWidth="1"/>
    <col min="702" max="702" width="9" bestFit="1" customWidth="1"/>
    <col min="703" max="703" width="10.140625" bestFit="1" customWidth="1"/>
    <col min="704" max="704" width="11.140625" bestFit="1" customWidth="1"/>
    <col min="705" max="705" width="10.140625" bestFit="1" customWidth="1"/>
    <col min="706" max="706" width="9" bestFit="1" customWidth="1"/>
    <col min="707" max="708" width="10.140625" bestFit="1" customWidth="1"/>
    <col min="709" max="709" width="9" bestFit="1" customWidth="1"/>
    <col min="710" max="710" width="11.140625" bestFit="1" customWidth="1"/>
    <col min="711" max="711" width="10.140625" bestFit="1" customWidth="1"/>
    <col min="712" max="712" width="8" bestFit="1" customWidth="1"/>
    <col min="713" max="713" width="11.140625" bestFit="1" customWidth="1"/>
    <col min="714" max="715" width="10.140625" bestFit="1" customWidth="1"/>
    <col min="716" max="716" width="12.28515625" bestFit="1" customWidth="1"/>
    <col min="717" max="717" width="10.140625" bestFit="1" customWidth="1"/>
    <col min="718" max="718" width="9" bestFit="1" customWidth="1"/>
    <col min="719" max="719" width="12.28515625" bestFit="1" customWidth="1"/>
    <col min="720" max="720" width="11.140625" bestFit="1" customWidth="1"/>
    <col min="721" max="721" width="12.28515625" bestFit="1" customWidth="1"/>
    <col min="722" max="722" width="10.140625" bestFit="1" customWidth="1"/>
    <col min="723" max="725" width="11.140625" bestFit="1" customWidth="1"/>
    <col min="726" max="726" width="10.140625" bestFit="1" customWidth="1"/>
    <col min="727" max="729" width="11.140625" bestFit="1" customWidth="1"/>
    <col min="730" max="730" width="9" bestFit="1" customWidth="1"/>
    <col min="731" max="731" width="10.140625" bestFit="1" customWidth="1"/>
    <col min="732" max="732" width="11.140625" bestFit="1" customWidth="1"/>
    <col min="733" max="733" width="10.140625" bestFit="1" customWidth="1"/>
    <col min="734" max="734" width="12.28515625" bestFit="1" customWidth="1"/>
    <col min="735" max="735" width="11.140625" bestFit="1" customWidth="1"/>
    <col min="736" max="738" width="12.28515625" bestFit="1" customWidth="1"/>
    <col min="739" max="740" width="10.140625" bestFit="1" customWidth="1"/>
    <col min="741" max="744" width="11.140625" bestFit="1" customWidth="1"/>
    <col min="745" max="746" width="10.140625" bestFit="1" customWidth="1"/>
    <col min="747" max="747" width="11.140625" bestFit="1" customWidth="1"/>
    <col min="748" max="748" width="12.28515625" bestFit="1" customWidth="1"/>
    <col min="749" max="749" width="11.140625" bestFit="1" customWidth="1"/>
    <col min="750" max="750" width="10.140625" bestFit="1" customWidth="1"/>
    <col min="751" max="751" width="12.28515625" bestFit="1" customWidth="1"/>
    <col min="752" max="752" width="10.140625" bestFit="1" customWidth="1"/>
    <col min="753" max="753" width="11.140625" bestFit="1" customWidth="1"/>
    <col min="754" max="754" width="9" bestFit="1" customWidth="1"/>
    <col min="755" max="755" width="10.140625" bestFit="1" customWidth="1"/>
    <col min="756" max="756" width="12.28515625" bestFit="1" customWidth="1"/>
    <col min="757" max="757" width="9" bestFit="1" customWidth="1"/>
    <col min="758" max="759" width="12.28515625" bestFit="1" customWidth="1"/>
    <col min="760" max="760" width="11.140625" bestFit="1" customWidth="1"/>
    <col min="761" max="761" width="10.140625" bestFit="1" customWidth="1"/>
    <col min="762" max="765" width="11.140625" bestFit="1" customWidth="1"/>
    <col min="766" max="766" width="10.140625" bestFit="1" customWidth="1"/>
    <col min="767" max="767" width="12.28515625" bestFit="1" customWidth="1"/>
    <col min="768" max="768" width="9" bestFit="1" customWidth="1"/>
    <col min="769" max="769" width="11.140625" bestFit="1" customWidth="1"/>
    <col min="770" max="770" width="10.140625" bestFit="1" customWidth="1"/>
    <col min="771" max="771" width="12.28515625" bestFit="1" customWidth="1"/>
    <col min="772" max="776" width="11.140625" bestFit="1" customWidth="1"/>
    <col min="777" max="778" width="10.140625" bestFit="1" customWidth="1"/>
    <col min="779" max="782" width="11.140625" bestFit="1" customWidth="1"/>
    <col min="783" max="783" width="9" bestFit="1" customWidth="1"/>
    <col min="784" max="784" width="10.140625" bestFit="1" customWidth="1"/>
    <col min="785" max="785" width="12.28515625" bestFit="1" customWidth="1"/>
    <col min="786" max="787" width="11.140625" bestFit="1" customWidth="1"/>
    <col min="788" max="789" width="10.140625" bestFit="1" customWidth="1"/>
    <col min="790" max="790" width="12.28515625" bestFit="1" customWidth="1"/>
    <col min="791" max="791" width="11.140625" bestFit="1" customWidth="1"/>
    <col min="792" max="792" width="12.28515625" bestFit="1" customWidth="1"/>
    <col min="793" max="793" width="10.140625" bestFit="1" customWidth="1"/>
    <col min="794" max="795" width="12.28515625" bestFit="1" customWidth="1"/>
    <col min="796" max="796" width="10.140625" bestFit="1" customWidth="1"/>
    <col min="797" max="798" width="11.140625" bestFit="1" customWidth="1"/>
    <col min="799" max="799" width="10.140625" bestFit="1" customWidth="1"/>
    <col min="800" max="800" width="11.140625" bestFit="1" customWidth="1"/>
    <col min="801" max="801" width="10.140625" bestFit="1" customWidth="1"/>
    <col min="802" max="802" width="11.140625" bestFit="1" customWidth="1"/>
    <col min="803" max="803" width="12.28515625" bestFit="1" customWidth="1"/>
    <col min="804" max="804" width="11.140625" bestFit="1" customWidth="1"/>
    <col min="805" max="805" width="10.140625" bestFit="1" customWidth="1"/>
    <col min="806" max="806" width="12.28515625" bestFit="1" customWidth="1"/>
    <col min="807" max="807" width="11.140625" bestFit="1" customWidth="1"/>
    <col min="808" max="808" width="9" bestFit="1" customWidth="1"/>
    <col min="809" max="810" width="12.28515625" bestFit="1" customWidth="1"/>
    <col min="811" max="811" width="10.140625" bestFit="1" customWidth="1"/>
    <col min="812" max="813" width="12.28515625" bestFit="1" customWidth="1"/>
    <col min="814" max="815" width="10.140625" bestFit="1" customWidth="1"/>
    <col min="816" max="816" width="11.140625" bestFit="1" customWidth="1"/>
    <col min="817" max="817" width="12.28515625" bestFit="1" customWidth="1"/>
    <col min="818" max="818" width="9" bestFit="1" customWidth="1"/>
    <col min="819" max="819" width="11.140625" bestFit="1" customWidth="1"/>
    <col min="820" max="821" width="12.28515625" bestFit="1" customWidth="1"/>
    <col min="822" max="822" width="9" bestFit="1" customWidth="1"/>
    <col min="823" max="823" width="11.140625" bestFit="1" customWidth="1"/>
    <col min="824" max="825" width="12.28515625" bestFit="1" customWidth="1"/>
    <col min="826" max="827" width="10.140625" bestFit="1" customWidth="1"/>
    <col min="828" max="831" width="11.140625" bestFit="1" customWidth="1"/>
    <col min="832" max="832" width="9" bestFit="1" customWidth="1"/>
    <col min="833" max="833" width="12.28515625" bestFit="1" customWidth="1"/>
    <col min="834" max="834" width="10.140625" bestFit="1" customWidth="1"/>
    <col min="835" max="835" width="12.28515625" bestFit="1" customWidth="1"/>
    <col min="836" max="836" width="10.140625" bestFit="1" customWidth="1"/>
    <col min="837" max="837" width="11.140625" bestFit="1" customWidth="1"/>
    <col min="838" max="838" width="12.28515625" bestFit="1" customWidth="1"/>
    <col min="839" max="839" width="10.140625" bestFit="1" customWidth="1"/>
    <col min="840" max="840" width="11.140625" bestFit="1" customWidth="1"/>
    <col min="841" max="844" width="12.28515625" bestFit="1" customWidth="1"/>
    <col min="845" max="848" width="11.140625" bestFit="1" customWidth="1"/>
    <col min="849" max="851" width="10.140625" bestFit="1" customWidth="1"/>
    <col min="852" max="852" width="11.140625" bestFit="1" customWidth="1"/>
    <col min="853" max="853" width="9" bestFit="1" customWidth="1"/>
    <col min="854" max="854" width="11.140625" bestFit="1" customWidth="1"/>
    <col min="855" max="855" width="12.28515625" bestFit="1" customWidth="1"/>
    <col min="856" max="856" width="11.140625" bestFit="1" customWidth="1"/>
    <col min="857" max="857" width="10.140625" bestFit="1" customWidth="1"/>
    <col min="858" max="858" width="11.140625" bestFit="1" customWidth="1"/>
    <col min="859" max="859" width="12.28515625" bestFit="1" customWidth="1"/>
    <col min="860" max="860" width="11.140625" bestFit="1" customWidth="1"/>
    <col min="861" max="861" width="10.140625" bestFit="1" customWidth="1"/>
    <col min="862" max="862" width="11.140625" bestFit="1" customWidth="1"/>
    <col min="863" max="863" width="10.140625" bestFit="1" customWidth="1"/>
    <col min="864" max="864" width="11.140625" bestFit="1" customWidth="1"/>
    <col min="865" max="866" width="12.28515625" bestFit="1" customWidth="1"/>
    <col min="867" max="870" width="10.140625" bestFit="1" customWidth="1"/>
    <col min="871" max="871" width="11.140625" bestFit="1" customWidth="1"/>
    <col min="872" max="872" width="12.28515625" bestFit="1" customWidth="1"/>
    <col min="873" max="873" width="11.140625" bestFit="1" customWidth="1"/>
    <col min="874" max="874" width="12.28515625" bestFit="1" customWidth="1"/>
    <col min="875" max="875" width="11.140625" bestFit="1" customWidth="1"/>
    <col min="876" max="876" width="12.28515625" bestFit="1" customWidth="1"/>
    <col min="877" max="878" width="11.140625" bestFit="1" customWidth="1"/>
    <col min="879" max="879" width="10.140625" bestFit="1" customWidth="1"/>
    <col min="880" max="880" width="11.140625" bestFit="1" customWidth="1"/>
    <col min="881" max="881" width="12.28515625" bestFit="1" customWidth="1"/>
    <col min="882" max="884" width="11.140625" bestFit="1" customWidth="1"/>
    <col min="885" max="885" width="10.140625" bestFit="1" customWidth="1"/>
    <col min="886" max="886" width="11.140625" bestFit="1" customWidth="1"/>
    <col min="887" max="888" width="10.140625" bestFit="1" customWidth="1"/>
    <col min="889" max="890" width="11.140625" bestFit="1" customWidth="1"/>
    <col min="891" max="893" width="12.28515625" bestFit="1" customWidth="1"/>
    <col min="894" max="894" width="11.140625" bestFit="1" customWidth="1"/>
    <col min="895" max="895" width="12.28515625" bestFit="1" customWidth="1"/>
    <col min="896" max="896" width="11.140625" bestFit="1" customWidth="1"/>
    <col min="897" max="897" width="10.140625" bestFit="1" customWidth="1"/>
    <col min="898" max="900" width="11.140625" bestFit="1" customWidth="1"/>
    <col min="901" max="902" width="10.140625" bestFit="1" customWidth="1"/>
    <col min="903" max="904" width="11.140625" bestFit="1" customWidth="1"/>
    <col min="905" max="906" width="12.28515625" bestFit="1" customWidth="1"/>
    <col min="907" max="907" width="10.140625" bestFit="1" customWidth="1"/>
    <col min="908" max="908" width="12.28515625" bestFit="1" customWidth="1"/>
    <col min="909" max="909" width="10.140625" bestFit="1" customWidth="1"/>
    <col min="910" max="910" width="11.140625" bestFit="1" customWidth="1"/>
    <col min="911" max="915" width="12.28515625" bestFit="1" customWidth="1"/>
    <col min="916" max="916" width="11.140625" bestFit="1" customWidth="1"/>
    <col min="917" max="917" width="12.28515625" bestFit="1" customWidth="1"/>
    <col min="918" max="918" width="10.140625" bestFit="1" customWidth="1"/>
    <col min="919" max="919" width="12.28515625" bestFit="1" customWidth="1"/>
    <col min="920" max="920" width="11.140625" bestFit="1" customWidth="1"/>
    <col min="921" max="922" width="10.140625" bestFit="1" customWidth="1"/>
    <col min="923" max="925" width="11.140625" bestFit="1" customWidth="1"/>
    <col min="926" max="927" width="10.140625" bestFit="1" customWidth="1"/>
    <col min="928" max="928" width="11.140625" bestFit="1" customWidth="1"/>
    <col min="929" max="929" width="9" bestFit="1" customWidth="1"/>
    <col min="930" max="930" width="11.140625" bestFit="1" customWidth="1"/>
    <col min="931" max="931" width="9" bestFit="1" customWidth="1"/>
    <col min="932" max="932" width="11.140625" bestFit="1" customWidth="1"/>
    <col min="933" max="933" width="12.28515625" bestFit="1" customWidth="1"/>
    <col min="934" max="935" width="11.140625" bestFit="1" customWidth="1"/>
    <col min="936" max="937" width="12.28515625" bestFit="1" customWidth="1"/>
    <col min="938" max="938" width="11.140625" bestFit="1" customWidth="1"/>
    <col min="939" max="939" width="10.140625" bestFit="1" customWidth="1"/>
    <col min="940" max="940" width="11.140625" bestFit="1" customWidth="1"/>
    <col min="941" max="941" width="10.140625" bestFit="1" customWidth="1"/>
    <col min="942" max="942" width="11.140625" bestFit="1" customWidth="1"/>
    <col min="943" max="944" width="10.140625" bestFit="1" customWidth="1"/>
    <col min="945" max="947" width="11.140625" bestFit="1" customWidth="1"/>
    <col min="948" max="949" width="12.28515625" bestFit="1" customWidth="1"/>
    <col min="950" max="951" width="11.140625" bestFit="1" customWidth="1"/>
    <col min="952" max="952" width="10.140625" bestFit="1" customWidth="1"/>
    <col min="953" max="953" width="11.140625" bestFit="1" customWidth="1"/>
    <col min="954" max="954" width="9" bestFit="1" customWidth="1"/>
    <col min="955" max="956" width="12.28515625" bestFit="1" customWidth="1"/>
    <col min="957" max="957" width="10.140625" bestFit="1" customWidth="1"/>
    <col min="958" max="961" width="11.140625" bestFit="1" customWidth="1"/>
    <col min="962" max="962" width="10.140625" bestFit="1" customWidth="1"/>
    <col min="963" max="963" width="11.140625" bestFit="1" customWidth="1"/>
    <col min="964" max="966" width="12.28515625" bestFit="1" customWidth="1"/>
    <col min="967" max="969" width="11.140625" bestFit="1" customWidth="1"/>
    <col min="970" max="970" width="12.28515625" bestFit="1" customWidth="1"/>
    <col min="971" max="971" width="11.140625" bestFit="1" customWidth="1"/>
    <col min="972" max="973" width="12.28515625" bestFit="1" customWidth="1"/>
    <col min="974" max="974" width="10.140625" bestFit="1" customWidth="1"/>
    <col min="975" max="975" width="12.28515625" bestFit="1" customWidth="1"/>
    <col min="976" max="976" width="11.140625" bestFit="1" customWidth="1"/>
    <col min="977" max="978" width="12.28515625" bestFit="1" customWidth="1"/>
    <col min="979" max="980" width="11.140625" bestFit="1" customWidth="1"/>
    <col min="981" max="981" width="10.140625" bestFit="1" customWidth="1"/>
    <col min="982" max="983" width="12.28515625" bestFit="1" customWidth="1"/>
    <col min="984" max="984" width="11.140625" bestFit="1" customWidth="1"/>
    <col min="985" max="985" width="10.140625" bestFit="1" customWidth="1"/>
    <col min="986" max="986" width="12.28515625" bestFit="1" customWidth="1"/>
    <col min="987" max="987" width="11.140625" bestFit="1" customWidth="1"/>
    <col min="988" max="990" width="12.28515625" bestFit="1" customWidth="1"/>
    <col min="991" max="991" width="11.140625" bestFit="1" customWidth="1"/>
    <col min="992" max="992" width="10.140625" bestFit="1" customWidth="1"/>
    <col min="993" max="994" width="12.28515625" bestFit="1" customWidth="1"/>
    <col min="995" max="996" width="11.140625" bestFit="1" customWidth="1"/>
    <col min="997" max="997" width="12.28515625" bestFit="1" customWidth="1"/>
    <col min="998" max="999" width="10.140625" bestFit="1" customWidth="1"/>
    <col min="1000" max="1000" width="12.28515625" bestFit="1" customWidth="1"/>
    <col min="1001" max="1001" width="11.140625" bestFit="1" customWidth="1"/>
    <col min="1002" max="1002" width="12.28515625" bestFit="1" customWidth="1"/>
    <col min="1003" max="1003" width="11.140625" bestFit="1" customWidth="1"/>
    <col min="1004" max="1007" width="12.28515625" bestFit="1" customWidth="1"/>
    <col min="1008" max="1008" width="10.140625" bestFit="1" customWidth="1"/>
    <col min="1009" max="1009" width="11.140625" bestFit="1" customWidth="1"/>
    <col min="1010" max="1010" width="9" bestFit="1" customWidth="1"/>
    <col min="1011" max="1011" width="11.140625" bestFit="1" customWidth="1"/>
    <col min="1012" max="1012" width="12.28515625" bestFit="1" customWidth="1"/>
    <col min="1013" max="1013" width="11.140625" bestFit="1" customWidth="1"/>
    <col min="1014" max="1014" width="10.140625" bestFit="1" customWidth="1"/>
    <col min="1015" max="1017" width="11.140625" bestFit="1" customWidth="1"/>
    <col min="1018" max="1018" width="10.140625" bestFit="1" customWidth="1"/>
    <col min="1019" max="1020" width="12.28515625" bestFit="1" customWidth="1"/>
    <col min="1021" max="1022" width="11.140625" bestFit="1" customWidth="1"/>
    <col min="1023" max="1025" width="12.28515625" bestFit="1" customWidth="1"/>
    <col min="1026" max="1026" width="10.140625" bestFit="1" customWidth="1"/>
    <col min="1027" max="1027" width="11.140625" bestFit="1" customWidth="1"/>
    <col min="1028" max="1028" width="10.140625" bestFit="1" customWidth="1"/>
    <col min="1029" max="1029" width="12.28515625" bestFit="1" customWidth="1"/>
    <col min="1030" max="1031" width="11.140625" bestFit="1" customWidth="1"/>
    <col min="1032" max="1033" width="10.140625" bestFit="1" customWidth="1"/>
    <col min="1034" max="1034" width="11.140625" bestFit="1" customWidth="1"/>
    <col min="1035" max="1035" width="10.140625" bestFit="1" customWidth="1"/>
    <col min="1036" max="1036" width="11.140625" bestFit="1" customWidth="1"/>
    <col min="1037" max="1037" width="12.28515625" bestFit="1" customWidth="1"/>
    <col min="1038" max="1039" width="11.140625" bestFit="1" customWidth="1"/>
    <col min="1040" max="1044" width="12.28515625" bestFit="1" customWidth="1"/>
    <col min="1045" max="1045" width="10.140625" bestFit="1" customWidth="1"/>
    <col min="1046" max="1046" width="9" bestFit="1" customWidth="1"/>
    <col min="1047" max="1047" width="10.140625" bestFit="1" customWidth="1"/>
    <col min="1048" max="1048" width="11.140625" bestFit="1" customWidth="1"/>
    <col min="1049" max="1049" width="12.28515625" bestFit="1" customWidth="1"/>
    <col min="1050" max="1050" width="10.140625" bestFit="1" customWidth="1"/>
    <col min="1051" max="1051" width="12.28515625" bestFit="1" customWidth="1"/>
    <col min="1052" max="1055" width="11.140625" bestFit="1" customWidth="1"/>
    <col min="1056" max="1056" width="12.28515625" bestFit="1" customWidth="1"/>
    <col min="1057" max="1058" width="11.140625" bestFit="1" customWidth="1"/>
    <col min="1059" max="1059" width="10.140625" bestFit="1" customWidth="1"/>
    <col min="1060" max="1061" width="12.28515625" bestFit="1" customWidth="1"/>
    <col min="1062" max="1062" width="11.140625" bestFit="1" customWidth="1"/>
    <col min="1063" max="1064" width="12.28515625" bestFit="1" customWidth="1"/>
    <col min="1065" max="1065" width="10.140625" bestFit="1" customWidth="1"/>
    <col min="1066" max="1066" width="11.140625" bestFit="1" customWidth="1"/>
    <col min="1067" max="1067" width="12.28515625" bestFit="1" customWidth="1"/>
    <col min="1068" max="1068" width="11.140625" bestFit="1" customWidth="1"/>
    <col min="1069" max="1077" width="12.28515625" bestFit="1" customWidth="1"/>
    <col min="1078" max="1078" width="11.140625" bestFit="1" customWidth="1"/>
    <col min="1079" max="1081" width="12.28515625" bestFit="1" customWidth="1"/>
    <col min="1082" max="1082" width="11.140625" bestFit="1" customWidth="1"/>
    <col min="1083" max="1083" width="9" bestFit="1" customWidth="1"/>
    <col min="1084" max="1084" width="12.28515625" bestFit="1" customWidth="1"/>
    <col min="1085" max="1085" width="10.140625" bestFit="1" customWidth="1"/>
    <col min="1086" max="1086" width="11.140625" bestFit="1" customWidth="1"/>
    <col min="1087" max="1088" width="12.28515625" bestFit="1" customWidth="1"/>
    <col min="1089" max="1089" width="11.140625" bestFit="1" customWidth="1"/>
    <col min="1090" max="1090" width="10.140625" bestFit="1" customWidth="1"/>
    <col min="1091" max="1091" width="11.140625" bestFit="1" customWidth="1"/>
    <col min="1092" max="1092" width="12.28515625" bestFit="1" customWidth="1"/>
    <col min="1093" max="1093" width="11.140625" bestFit="1" customWidth="1"/>
    <col min="1094" max="1094" width="12.28515625" bestFit="1" customWidth="1"/>
    <col min="1095" max="1095" width="11.140625" bestFit="1" customWidth="1"/>
    <col min="1096" max="1096" width="12.28515625" bestFit="1" customWidth="1"/>
    <col min="1097" max="1097" width="11.140625" bestFit="1" customWidth="1"/>
    <col min="1098" max="1098" width="9" bestFit="1" customWidth="1"/>
    <col min="1099" max="1099" width="11.140625" bestFit="1" customWidth="1"/>
    <col min="1100" max="1100" width="12.28515625" bestFit="1" customWidth="1"/>
    <col min="1101" max="1101" width="10.140625" bestFit="1" customWidth="1"/>
    <col min="1102" max="1102" width="12.28515625" bestFit="1" customWidth="1"/>
    <col min="1103" max="1104" width="11.140625" bestFit="1" customWidth="1"/>
    <col min="1105" max="1105" width="12.28515625" bestFit="1" customWidth="1"/>
    <col min="1106" max="1106" width="11.140625" bestFit="1" customWidth="1"/>
    <col min="1107" max="1107" width="12.28515625" bestFit="1" customWidth="1"/>
    <col min="1108" max="1108" width="8" bestFit="1" customWidth="1"/>
    <col min="1109" max="1110" width="12.28515625" bestFit="1" customWidth="1"/>
    <col min="1111" max="1111" width="11.140625" bestFit="1" customWidth="1"/>
    <col min="1112" max="1113" width="12.28515625" bestFit="1" customWidth="1"/>
    <col min="1114" max="1115" width="11.140625" bestFit="1" customWidth="1"/>
    <col min="1116" max="1116" width="10.140625" bestFit="1" customWidth="1"/>
    <col min="1117" max="1118" width="12.28515625" bestFit="1" customWidth="1"/>
    <col min="1119" max="1119" width="10.140625" bestFit="1" customWidth="1"/>
    <col min="1120" max="1121" width="11.140625" bestFit="1" customWidth="1"/>
    <col min="1122" max="1124" width="12.28515625" bestFit="1" customWidth="1"/>
    <col min="1125" max="1125" width="11.140625" bestFit="1" customWidth="1"/>
    <col min="1126" max="1126" width="12.28515625" bestFit="1" customWidth="1"/>
    <col min="1127" max="1127" width="11.140625" bestFit="1" customWidth="1"/>
    <col min="1128" max="1129" width="12.28515625" bestFit="1" customWidth="1"/>
    <col min="1130" max="1130" width="10.140625" bestFit="1" customWidth="1"/>
    <col min="1131" max="1132" width="12.28515625" bestFit="1" customWidth="1"/>
    <col min="1133" max="1133" width="10.140625" bestFit="1" customWidth="1"/>
    <col min="1134" max="1134" width="12.28515625" bestFit="1" customWidth="1"/>
    <col min="1135" max="1136" width="11.140625" bestFit="1" customWidth="1"/>
    <col min="1137" max="1139" width="12.28515625" bestFit="1" customWidth="1"/>
    <col min="1140" max="1140" width="10.140625" bestFit="1" customWidth="1"/>
    <col min="1141" max="1141" width="12.28515625" bestFit="1" customWidth="1"/>
    <col min="1142" max="1142" width="10.140625" bestFit="1" customWidth="1"/>
    <col min="1143" max="1149" width="12.28515625" bestFit="1" customWidth="1"/>
    <col min="1150" max="1150" width="11.140625" bestFit="1" customWidth="1"/>
    <col min="1151" max="1153" width="12.28515625" bestFit="1" customWidth="1"/>
    <col min="1154" max="1154" width="11.140625" bestFit="1" customWidth="1"/>
    <col min="1155" max="1155" width="12.28515625" bestFit="1" customWidth="1"/>
    <col min="1156" max="1156" width="11.140625" bestFit="1" customWidth="1"/>
    <col min="1157" max="1161" width="12.28515625" bestFit="1" customWidth="1"/>
    <col min="1162" max="1162" width="11.140625" bestFit="1" customWidth="1"/>
    <col min="1163" max="1163" width="12.28515625" bestFit="1" customWidth="1"/>
    <col min="1164" max="1164" width="11.140625" bestFit="1" customWidth="1"/>
    <col min="1165" max="1170" width="12.28515625" bestFit="1" customWidth="1"/>
    <col min="1171" max="1171" width="11.140625" bestFit="1" customWidth="1"/>
    <col min="1172" max="1172" width="12.28515625" bestFit="1" customWidth="1"/>
    <col min="1173" max="1174" width="11.140625" bestFit="1" customWidth="1"/>
    <col min="1175" max="1176" width="12.28515625" bestFit="1" customWidth="1"/>
    <col min="1177" max="1177" width="11.140625" bestFit="1" customWidth="1"/>
    <col min="1178" max="1179" width="12.28515625" bestFit="1" customWidth="1"/>
    <col min="1180" max="1180" width="11.140625" bestFit="1" customWidth="1"/>
    <col min="1181" max="1182" width="12.28515625" bestFit="1" customWidth="1"/>
    <col min="1183" max="1183" width="11.140625" bestFit="1" customWidth="1"/>
    <col min="1184" max="1185" width="12.28515625" bestFit="1" customWidth="1"/>
    <col min="1186" max="1187" width="11.140625" bestFit="1" customWidth="1"/>
    <col min="1188" max="1188" width="12.28515625" bestFit="1" customWidth="1"/>
    <col min="1189" max="1189" width="11.140625" bestFit="1" customWidth="1"/>
    <col min="1190" max="1191" width="12.28515625" bestFit="1" customWidth="1"/>
    <col min="1192" max="1193" width="11.140625" bestFit="1" customWidth="1"/>
    <col min="1194" max="1196" width="10.140625" bestFit="1" customWidth="1"/>
    <col min="1197" max="1197" width="12.28515625" bestFit="1" customWidth="1"/>
    <col min="1198" max="1199" width="11.140625" bestFit="1" customWidth="1"/>
    <col min="1200" max="1200" width="10.140625" bestFit="1" customWidth="1"/>
    <col min="1201" max="1201" width="12.28515625" bestFit="1" customWidth="1"/>
    <col min="1202" max="1202" width="11.140625" bestFit="1" customWidth="1"/>
    <col min="1203" max="1203" width="10.140625" bestFit="1" customWidth="1"/>
    <col min="1204" max="1204" width="11.140625" bestFit="1" customWidth="1"/>
    <col min="1205" max="1206" width="10.140625" bestFit="1" customWidth="1"/>
    <col min="1207" max="1209" width="12.28515625" bestFit="1" customWidth="1"/>
    <col min="1210" max="1210" width="9" bestFit="1" customWidth="1"/>
    <col min="1211" max="1211" width="10.140625" bestFit="1" customWidth="1"/>
    <col min="1212" max="1213" width="11.140625" bestFit="1" customWidth="1"/>
    <col min="1214" max="1214" width="10.140625" bestFit="1" customWidth="1"/>
    <col min="1215" max="1217" width="11.140625" bestFit="1" customWidth="1"/>
    <col min="1218" max="1218" width="10.140625" bestFit="1" customWidth="1"/>
    <col min="1219" max="1219" width="12.28515625" bestFit="1" customWidth="1"/>
    <col min="1220" max="1220" width="11.140625" bestFit="1" customWidth="1"/>
    <col min="1221" max="1221" width="10.140625" bestFit="1" customWidth="1"/>
    <col min="1222" max="1222" width="12.28515625" bestFit="1" customWidth="1"/>
    <col min="1223" max="1223" width="10.140625" bestFit="1" customWidth="1"/>
    <col min="1224" max="1225" width="12.28515625" bestFit="1" customWidth="1"/>
    <col min="1226" max="1226" width="11.140625" bestFit="1" customWidth="1"/>
    <col min="1227" max="1227" width="10.140625" bestFit="1" customWidth="1"/>
    <col min="1228" max="1230" width="11.140625" bestFit="1" customWidth="1"/>
    <col min="1231" max="1231" width="12.28515625" bestFit="1" customWidth="1"/>
    <col min="1232" max="1237" width="11.140625" bestFit="1" customWidth="1"/>
    <col min="1238" max="1238" width="12.28515625" bestFit="1" customWidth="1"/>
    <col min="1239" max="1239" width="11.140625" bestFit="1" customWidth="1"/>
    <col min="1240" max="1241" width="10.140625" bestFit="1" customWidth="1"/>
    <col min="1242" max="1242" width="11.140625" bestFit="1" customWidth="1"/>
    <col min="1243" max="1243" width="10.140625" bestFit="1" customWidth="1"/>
    <col min="1244" max="1244" width="6.28515625" bestFit="1" customWidth="1"/>
    <col min="1245" max="1246" width="11.140625" bestFit="1" customWidth="1"/>
    <col min="1247" max="1248" width="10.140625" bestFit="1" customWidth="1"/>
    <col min="1249" max="1249" width="12.28515625" bestFit="1" customWidth="1"/>
    <col min="1250" max="1250" width="10.140625" bestFit="1" customWidth="1"/>
    <col min="1251" max="1254" width="11.140625" bestFit="1" customWidth="1"/>
    <col min="1255" max="1255" width="12.28515625" bestFit="1" customWidth="1"/>
    <col min="1256" max="1256" width="10.140625" bestFit="1" customWidth="1"/>
    <col min="1257" max="1257" width="11.140625" bestFit="1" customWidth="1"/>
    <col min="1258" max="1258" width="10.140625" bestFit="1" customWidth="1"/>
    <col min="1259" max="1259" width="11.140625" bestFit="1" customWidth="1"/>
    <col min="1260" max="1261" width="12.28515625" bestFit="1" customWidth="1"/>
    <col min="1262" max="1262" width="9" bestFit="1" customWidth="1"/>
    <col min="1263" max="1263" width="10.140625" bestFit="1" customWidth="1"/>
    <col min="1264" max="1265" width="11.140625" bestFit="1" customWidth="1"/>
    <col min="1266" max="1266" width="12.28515625" bestFit="1" customWidth="1"/>
    <col min="1267" max="1271" width="11.140625" bestFit="1" customWidth="1"/>
    <col min="1272" max="1272" width="12.28515625" bestFit="1" customWidth="1"/>
    <col min="1273" max="1273" width="10.140625" bestFit="1" customWidth="1"/>
    <col min="1274" max="1274" width="11.140625" bestFit="1" customWidth="1"/>
    <col min="1275" max="1275" width="10.140625" bestFit="1" customWidth="1"/>
    <col min="1276" max="1276" width="11.140625" bestFit="1" customWidth="1"/>
    <col min="1277" max="1277" width="9" bestFit="1" customWidth="1"/>
    <col min="1278" max="1281" width="11.140625" bestFit="1" customWidth="1"/>
    <col min="1282" max="1282" width="12.28515625" bestFit="1" customWidth="1"/>
    <col min="1283" max="1284" width="11.140625" bestFit="1" customWidth="1"/>
    <col min="1285" max="1285" width="10.140625" bestFit="1" customWidth="1"/>
    <col min="1286" max="1287" width="11.140625" bestFit="1" customWidth="1"/>
    <col min="1288" max="1288" width="12.28515625" bestFit="1" customWidth="1"/>
    <col min="1289" max="1289" width="11.140625" bestFit="1" customWidth="1"/>
    <col min="1290" max="1290" width="12.28515625" bestFit="1" customWidth="1"/>
    <col min="1291" max="1297" width="11.140625" bestFit="1" customWidth="1"/>
    <col min="1298" max="1298" width="10.140625" bestFit="1" customWidth="1"/>
    <col min="1299" max="1299" width="11.140625" bestFit="1" customWidth="1"/>
    <col min="1300" max="1300" width="12.28515625" bestFit="1" customWidth="1"/>
    <col min="1301" max="1302" width="11.140625" bestFit="1" customWidth="1"/>
    <col min="1303" max="1304" width="12.28515625" bestFit="1" customWidth="1"/>
    <col min="1305" max="1306" width="10.140625" bestFit="1" customWidth="1"/>
    <col min="1307" max="1312" width="11.140625" bestFit="1" customWidth="1"/>
    <col min="1313" max="1313" width="12.28515625" bestFit="1" customWidth="1"/>
    <col min="1314" max="1315" width="11.140625" bestFit="1" customWidth="1"/>
    <col min="1316" max="1318" width="10.140625" bestFit="1" customWidth="1"/>
    <col min="1319" max="1319" width="9" bestFit="1" customWidth="1"/>
    <col min="1320" max="1320" width="10.140625" bestFit="1" customWidth="1"/>
    <col min="1321" max="1322" width="12.28515625" bestFit="1" customWidth="1"/>
    <col min="1323" max="1323" width="9" bestFit="1" customWidth="1"/>
    <col min="1324" max="1324" width="10.140625" bestFit="1" customWidth="1"/>
    <col min="1325" max="1326" width="12.28515625" bestFit="1" customWidth="1"/>
    <col min="1327" max="1328" width="11.140625" bestFit="1" customWidth="1"/>
    <col min="1329" max="1329" width="9" bestFit="1" customWidth="1"/>
    <col min="1330" max="1330" width="12.28515625" bestFit="1" customWidth="1"/>
    <col min="1331" max="1332" width="11.140625" bestFit="1" customWidth="1"/>
    <col min="1333" max="1339" width="12.28515625" bestFit="1" customWidth="1"/>
    <col min="1340" max="1340" width="10.7109375" bestFit="1" customWidth="1"/>
  </cols>
  <sheetData>
    <row r="1" spans="2:24" ht="15" customHeight="1">
      <c r="B1" s="10" t="s">
        <v>15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2:24" ht="15" customHeight="1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2:24" ht="15" customHeight="1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5" spans="2:24" ht="15" customHeight="1">
      <c r="B5" s="14" t="s">
        <v>16</v>
      </c>
      <c r="C5" s="14"/>
      <c r="E5" s="12" t="s">
        <v>17</v>
      </c>
      <c r="F5" s="12"/>
      <c r="H5" s="12" t="s">
        <v>18</v>
      </c>
      <c r="I5" s="12"/>
      <c r="J5" s="9"/>
      <c r="K5" s="16" t="s">
        <v>19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2:24" ht="21" customHeight="1">
      <c r="B6" s="14"/>
      <c r="C6" s="14"/>
      <c r="E6" s="12"/>
      <c r="F6" s="12"/>
      <c r="H6" s="12"/>
      <c r="I6" s="12"/>
      <c r="J6" s="9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2:24">
      <c r="B7" s="5" t="s">
        <v>20</v>
      </c>
      <c r="C7" s="6" t="s">
        <v>21</v>
      </c>
      <c r="E7" s="5" t="s">
        <v>22</v>
      </c>
      <c r="F7" s="6" t="s">
        <v>21</v>
      </c>
      <c r="H7" s="5" t="s">
        <v>20</v>
      </c>
      <c r="I7" s="6" t="s">
        <v>23</v>
      </c>
      <c r="J7" s="4"/>
      <c r="K7" s="15" t="s">
        <v>24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2:24">
      <c r="B8" s="6" t="s">
        <v>25</v>
      </c>
      <c r="C8" s="8">
        <v>32050.231831532848</v>
      </c>
      <c r="E8" s="6" t="s">
        <v>26</v>
      </c>
      <c r="F8" s="8">
        <v>13956.751177721886</v>
      </c>
      <c r="H8" s="6" t="s">
        <v>25</v>
      </c>
      <c r="I8" s="7">
        <v>30.708448905109503</v>
      </c>
      <c r="J8" s="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2:24">
      <c r="B9" s="6" t="s">
        <v>27</v>
      </c>
      <c r="C9" s="8">
        <v>8434.2682978561988</v>
      </c>
      <c r="E9" s="6" t="s">
        <v>28</v>
      </c>
      <c r="F9" s="8">
        <v>12569.578843835339</v>
      </c>
      <c r="H9" s="6" t="s">
        <v>27</v>
      </c>
      <c r="I9" s="7">
        <v>30.651795112781922</v>
      </c>
      <c r="J9" s="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2:24" ht="30.75" customHeight="1">
      <c r="B10" s="6" t="s">
        <v>29</v>
      </c>
      <c r="C10" s="8">
        <v>13270.422265141273</v>
      </c>
      <c r="E10" s="6" t="s">
        <v>29</v>
      </c>
      <c r="F10" s="8">
        <v>13270.422265141262</v>
      </c>
      <c r="H10" s="6" t="s">
        <v>29</v>
      </c>
      <c r="I10" s="7">
        <v>30.663396860986541</v>
      </c>
      <c r="J10" s="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2:24">
      <c r="I11" s="4"/>
      <c r="J11" s="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2:24">
      <c r="B12" s="13"/>
      <c r="C12" s="13"/>
      <c r="I12" s="4"/>
      <c r="J12" s="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2:24" ht="15" customHeight="1">
      <c r="B13" s="13"/>
      <c r="C13" s="13"/>
      <c r="I13" s="4"/>
      <c r="J13" s="4"/>
    </row>
    <row r="14" spans="2:24">
      <c r="B14" s="4"/>
      <c r="C14" s="11"/>
      <c r="D14" s="11"/>
      <c r="I14" s="4"/>
      <c r="J14" s="4"/>
    </row>
    <row r="15" spans="2:24">
      <c r="B15" s="4"/>
      <c r="C15" s="11"/>
      <c r="D15" s="11"/>
      <c r="I15" s="4"/>
      <c r="J15" s="4"/>
    </row>
    <row r="16" spans="2:24">
      <c r="B16" s="4"/>
      <c r="C16" s="4"/>
      <c r="D16" s="4"/>
      <c r="I16" s="4"/>
      <c r="J16" s="4"/>
    </row>
    <row r="17" spans="4:10">
      <c r="D17" s="4"/>
      <c r="I17" s="4"/>
      <c r="J17" s="4"/>
    </row>
    <row r="18" spans="4:10">
      <c r="D18" s="4"/>
      <c r="I18" s="4"/>
      <c r="J18" s="4"/>
    </row>
    <row r="19" spans="4:10">
      <c r="D19" s="4"/>
      <c r="I19" s="4"/>
      <c r="J19" s="4"/>
    </row>
    <row r="20" spans="4:10">
      <c r="I20" s="4"/>
      <c r="J20" s="4"/>
    </row>
    <row r="21" spans="4:10">
      <c r="I21" s="4"/>
      <c r="J21" s="4"/>
    </row>
    <row r="22" spans="4:10">
      <c r="I22" s="4"/>
      <c r="J22" s="4"/>
    </row>
    <row r="23" spans="4:10">
      <c r="I23" s="4"/>
      <c r="J23" s="4"/>
    </row>
    <row r="24" spans="4:10">
      <c r="I24" s="4"/>
      <c r="J24" s="4"/>
    </row>
    <row r="25" spans="4:10">
      <c r="I25" s="4"/>
      <c r="J25" s="4"/>
    </row>
    <row r="26" spans="4:10">
      <c r="I26" s="4"/>
      <c r="J26" s="4"/>
    </row>
    <row r="27" spans="4:10">
      <c r="I27" s="4"/>
      <c r="J27" s="4"/>
    </row>
    <row r="28" spans="4:10">
      <c r="I28" s="4"/>
      <c r="J28" s="4"/>
    </row>
    <row r="29" spans="4:10">
      <c r="I29" s="4"/>
      <c r="J29" s="4"/>
    </row>
    <row r="30" spans="4:10">
      <c r="I30" s="4"/>
      <c r="J30" s="4"/>
    </row>
    <row r="31" spans="4:10">
      <c r="I31" s="4"/>
      <c r="J31" s="4"/>
    </row>
    <row r="32" spans="4:10">
      <c r="I32" s="4"/>
      <c r="J32" s="4"/>
    </row>
    <row r="33" spans="9:24">
      <c r="I33" s="4"/>
      <c r="J33" s="4"/>
    </row>
    <row r="34" spans="9:24">
      <c r="I34" s="4"/>
      <c r="J34" s="4"/>
    </row>
    <row r="35" spans="9:24">
      <c r="I35" s="4"/>
      <c r="J35" s="4"/>
      <c r="M35" s="3"/>
    </row>
    <row r="36" spans="9:24">
      <c r="I36" s="4"/>
      <c r="J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9:24">
      <c r="I37" s="4"/>
      <c r="J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9:24">
      <c r="I38" s="4"/>
      <c r="J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9:24" ht="30.75" customHeight="1">
      <c r="I39" s="4"/>
      <c r="J39" s="4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9:24">
      <c r="I40" s="4"/>
      <c r="J40" s="4"/>
    </row>
    <row r="41" spans="9:24">
      <c r="I41" s="4"/>
      <c r="J41" s="4"/>
    </row>
    <row r="42" spans="9:24">
      <c r="I42" s="4"/>
      <c r="J42" s="4"/>
    </row>
    <row r="43" spans="9:24">
      <c r="I43" s="4"/>
      <c r="J43" s="4"/>
    </row>
    <row r="44" spans="9:24">
      <c r="I44" s="4"/>
      <c r="J44" s="4"/>
    </row>
    <row r="45" spans="9:24">
      <c r="I45" s="4"/>
      <c r="J45" s="4"/>
    </row>
    <row r="46" spans="9:24">
      <c r="I46" s="4"/>
      <c r="J46" s="4"/>
    </row>
    <row r="47" spans="9:24">
      <c r="I47" s="4"/>
      <c r="J47" s="4"/>
    </row>
    <row r="48" spans="9:24">
      <c r="I48" s="4"/>
      <c r="J48" s="4"/>
    </row>
    <row r="49" spans="9:10">
      <c r="I49" s="4"/>
      <c r="J49" s="4"/>
    </row>
    <row r="50" spans="9:10">
      <c r="I50" s="4"/>
      <c r="J50" s="4"/>
    </row>
    <row r="51" spans="9:10">
      <c r="I51" s="4"/>
      <c r="J51" s="4"/>
    </row>
    <row r="52" spans="9:10">
      <c r="I52" s="4"/>
      <c r="J52" s="4"/>
    </row>
    <row r="53" spans="9:10">
      <c r="I53" s="4"/>
      <c r="J53" s="4"/>
    </row>
    <row r="54" spans="9:10">
      <c r="I54" s="4"/>
      <c r="J54" s="4"/>
    </row>
    <row r="55" spans="9:10">
      <c r="I55" s="4"/>
      <c r="J55" s="4"/>
    </row>
  </sheetData>
  <mergeCells count="8">
    <mergeCell ref="B1:X3"/>
    <mergeCell ref="C14:D15"/>
    <mergeCell ref="H5:I6"/>
    <mergeCell ref="B12:C13"/>
    <mergeCell ref="B5:C6"/>
    <mergeCell ref="E5:F6"/>
    <mergeCell ref="K7:V12"/>
    <mergeCell ref="K5:V6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2026-03-23T22:36:29Z</dcterms:created>
  <dcterms:modified xsi:type="dcterms:W3CDTF">2026-03-30T04:15:18Z</dcterms:modified>
  <cp:category/>
  <cp:contentStatus/>
</cp:coreProperties>
</file>